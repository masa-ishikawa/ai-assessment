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ダッシュボード" sheetId="2" state="visible" r:id="rId2"/>
    <sheet xmlns:r="http://schemas.openxmlformats.org/officeDocument/2006/relationships" name="入力フォーム" sheetId="3" state="visible" r:id="rId3"/>
    <sheet xmlns:r="http://schemas.openxmlformats.org/officeDocument/2006/relationships" name="登録用_縦持ち" sheetId="4" state="visible" r:id="rId4"/>
    <sheet xmlns:r="http://schemas.openxmlformats.org/officeDocument/2006/relationships" name="入力例_エクス" sheetId="5" state="visible" r:id="rId5"/>
    <sheet xmlns:r="http://schemas.openxmlformats.org/officeDocument/2006/relationships" name="選択肢一覧" sheetId="6" state="visible" r:id="rId6"/>
    <sheet xmlns:r="http://schemas.openxmlformats.org/officeDocument/2006/relationships" name="Sources" sheetId="7" state="visible" r:id="rId7"/>
  </sheets>
  <definedNames>
    <definedName name="_xlnm._FilterDatabase" localSheetId="2" hidden="1">'入力フォーム'!$A$5:$K$123</definedName>
    <definedName name="_xlnm._FilterDatabase" localSheetId="3" hidden="1">'登録用_縦持ち'!$A$4:$H$111</definedName>
    <definedName name="_xlnm._FilterDatabase" localSheetId="4" hidden="1">'入力例_エクス'!$A$4:$D$111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Yu Gothic"/>
      <b val="1"/>
      <color rgb="00FFFFFF"/>
      <sz val="20"/>
    </font>
    <font>
      <name val="Yu Gothic"/>
      <color rgb="001F2933"/>
      <sz val="11"/>
    </font>
    <font>
      <name val="Yu Gothic"/>
      <b val="1"/>
      <color rgb="00FFFFFF"/>
    </font>
    <font>
      <name val="Yu Gothic"/>
      <color rgb="001F2933"/>
      <sz val="10"/>
    </font>
    <font>
      <name val="Yu Gothic"/>
      <b val="1"/>
      <color rgb="001F2933"/>
    </font>
    <font>
      <name val="Yu Gothic"/>
      <sz val="10"/>
    </font>
    <font>
      <name val="Yu Gothic"/>
      <color rgb="001F2933"/>
      <sz val="9"/>
    </font>
    <font>
      <name val="Yu Gothic"/>
      <b val="1"/>
      <color rgb="00FFFFFF"/>
      <sz val="12"/>
    </font>
    <font>
      <name val="Yu Gothic"/>
      <b val="1"/>
      <color rgb="008F2F24"/>
      <sz val="9"/>
    </font>
    <font>
      <name val="Yu Gothic"/>
      <color rgb="000000FF"/>
      <sz val="10"/>
    </font>
    <font>
      <name val="Yu Gothic"/>
      <color rgb="00008000"/>
      <sz val="9"/>
    </font>
    <font>
      <name val="Yu Gothic"/>
      <sz val="9"/>
    </font>
    <font>
      <name val="Yu Gothic"/>
      <b val="1"/>
      <color rgb="008F2F24"/>
      <sz val="10"/>
    </font>
  </fonts>
  <fills count="10">
    <fill>
      <patternFill/>
    </fill>
    <fill>
      <patternFill patternType="gray125"/>
    </fill>
    <fill>
      <patternFill patternType="solid">
        <fgColor rgb="0023443B"/>
      </patternFill>
    </fill>
    <fill>
      <patternFill patternType="solid">
        <fgColor rgb="00E8F0EC"/>
      </patternFill>
    </fill>
    <fill>
      <patternFill patternType="solid">
        <fgColor rgb="002F5D50"/>
      </patternFill>
    </fill>
    <fill>
      <patternFill patternType="solid">
        <fgColor rgb="00FAFAFA"/>
      </patternFill>
    </fill>
    <fill>
      <patternFill patternType="solid">
        <fgColor rgb="00FFF4D8"/>
      </patternFill>
    </fill>
    <fill>
      <patternFill patternType="solid">
        <fgColor rgb="00FFE8CC"/>
      </patternFill>
    </fill>
    <fill>
      <patternFill patternType="solid">
        <fgColor rgb="00DDEBFF"/>
      </patternFill>
    </fill>
    <fill>
      <patternFill patternType="solid">
        <fgColor rgb="00F3F4F6"/>
      </patternFill>
    </fill>
  </fills>
  <borders count="3">
    <border>
      <left/>
      <right/>
      <top/>
      <bottom/>
      <diagonal/>
    </border>
    <border>
      <top style="thin">
        <color rgb="00D9DED7"/>
      </top>
      <bottom style="thin">
        <color rgb="00D9DED7"/>
      </bottom>
    </border>
    <border>
      <bottom style="thin">
        <color rgb="00D9DED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top" wrapText="1"/>
    </xf>
    <xf numFmtId="0" fontId="3" fillId="4" borderId="0" applyAlignment="1" pivotButton="0" quotePrefix="0" xfId="0">
      <alignment horizontal="center"/>
    </xf>
    <xf numFmtId="0" fontId="5" fillId="3" borderId="2" pivotButton="0" quotePrefix="0" xfId="0"/>
    <xf numFmtId="0" fontId="5" fillId="5" borderId="2" applyAlignment="1" pivotButton="0" quotePrefix="0" xfId="0">
      <alignment horizontal="center"/>
    </xf>
    <xf numFmtId="164" fontId="5" fillId="5" borderId="2" applyAlignment="1" pivotButton="0" quotePrefix="0" xfId="0">
      <alignment horizontal="center"/>
    </xf>
    <xf numFmtId="0" fontId="6" fillId="0" borderId="2" applyAlignment="1" pivotButton="0" quotePrefix="0" xfId="0">
      <alignment vertical="top" wrapText="1"/>
    </xf>
    <xf numFmtId="164" fontId="6" fillId="0" borderId="2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6" fillId="0" borderId="0" applyAlignment="1" pivotButton="0" quotePrefix="0" xfId="0">
      <alignment wrapText="1"/>
    </xf>
    <xf numFmtId="0" fontId="13" fillId="6" borderId="0" applyAlignment="1" pivotButton="0" quotePrefix="0" xfId="0">
      <alignment vertical="center" wrapText="1"/>
    </xf>
    <xf numFmtId="0" fontId="8" fillId="2" borderId="0" applyAlignment="1" pivotButton="0" quotePrefix="0" xfId="0">
      <alignment vertical="center"/>
    </xf>
    <xf numFmtId="0" fontId="7" fillId="0" borderId="2" applyAlignment="1" pivotButton="0" quotePrefix="0" xfId="0">
      <alignment vertical="top" wrapText="1"/>
    </xf>
    <xf numFmtId="0" fontId="9" fillId="7" borderId="2" applyAlignment="1" pivotButton="0" quotePrefix="0" xfId="0">
      <alignment vertical="top" wrapText="1"/>
    </xf>
    <xf numFmtId="0" fontId="10" fillId="8" borderId="2" applyAlignment="1" pivotButton="0" quotePrefix="0" xfId="0">
      <alignment vertical="top" wrapText="1"/>
    </xf>
    <xf numFmtId="0" fontId="11" fillId="5" borderId="2" applyAlignment="1" pivotButton="0" quotePrefix="0" xfId="0">
      <alignment vertical="top" wrapText="1"/>
    </xf>
    <xf numFmtId="0" fontId="7" fillId="9" borderId="2" applyAlignment="1" pivotButton="0" quotePrefix="0" xfId="0">
      <alignment vertical="top" wrapText="1"/>
    </xf>
    <xf numFmtId="0" fontId="11" fillId="0" borderId="2" applyAlignment="1" pivotButton="0" quotePrefix="0" xfId="0">
      <alignment vertical="top" wrapText="1"/>
    </xf>
    <xf numFmtId="0" fontId="12" fillId="0" borderId="2" applyAlignment="1" pivotButton="0" quotePrefix="0" xfId="0">
      <alignment vertical="top" wrapText="1"/>
    </xf>
    <xf numFmtId="0" fontId="3" fillId="4" borderId="0" pivotButton="0" quotePrefix="0" xfId="0"/>
    <xf numFmtId="0" fontId="7" fillId="3" borderId="0" applyAlignment="1" pivotButton="0" quotePrefix="0" xfId="0">
      <alignment wrapText="1"/>
    </xf>
    <xf numFmtId="0" fontId="6" fillId="0" borderId="2" pivotButton="0" quotePrefix="0" xfId="0"/>
  </cellXfs>
  <cellStyles count="1">
    <cellStyle name="Normal" xfId="0" builtinId="0" hidden="0"/>
  </cellStyles>
  <dxfs count="2">
    <dxf>
      <fill>
        <patternFill patternType="solid">
          <fgColor rgb="00FCE4E4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Oracle</author>
  </authors>
  <commentList>
    <comment ref="E7" authorId="0" shapeId="0">
      <text>
        <t>設問: 情報利用目的を確認しましたか？
必須: 必須
入力ガイド: 本フォームは、ISV AI Use Case Assessmentの事前整理、AIユースケース評価、OCI構成検討、PoC計画、レポート作成に利用します。
選択肢: 確認しました</t>
      </text>
    </comment>
    <comment ref="E8" authorId="0" shapeId="0">
      <text>
        <t>設問: 本番データ・顧客機密データ・個人情報をアップロードしないことを確認しましたか？
必須: 必須
入力ガイド: 添付資料は、Oracle担当者と合意した範囲の資料に限定してください。
選択肢: 確認しました</t>
      </text>
    </comment>
    <comment ref="E10" authorId="0" shapeId="0">
      <text>
        <t>設問: 会社名
必須: 必須
入力ガイド: 例：株式会社〇〇
入力例: 株式会社エクス</t>
      </text>
    </comment>
    <comment ref="E11" authorId="0" shapeId="0">
      <text>
        <t>設問: 会社URL
必須: 任意
入力ガイド: 例：https://www.example.co.jp/
入力例: https://www.xeex.co.jp/</t>
      </text>
    </comment>
    <comment ref="E12" authorId="0" shapeId="0">
      <text>
        <t>設問: 事業概要
必須: 必須
入力ガイド: 製品単体ではなく、周辺サービス、導入支援、運用支援も含めて記入してください。
入力例: 製造業向けの生産管理パッケージを中核に、製造業向けクラウドサービス/プラットフォーム、DX関連サービス、導入コンサルティング、カスタマイズ開発、稼働支援、保守を提供するソフトウェアベンダー。</t>
      </text>
    </comment>
    <comment ref="E13" authorId="0" shapeId="0">
      <text>
        <t>設問: 主な顧客像
必須: 必須
入力ガイド: 例：中堅・中小製造業、従業員100〜3,000名、工場/生産管理部門/購買部門
入力例: 中堅・中小の製造業。生産管理、購買、在庫、現場、販売管理などの部門が主な利用者。</t>
      </text>
    </comment>
    <comment ref="E14" authorId="0" shapeId="0">
      <text>
        <t>設問: 対象業種・業態
必須: 任意
入力ガイド: 複数選択可。その他の場合は自由記述を併用してください。
入力例: 製造業;生産管理;販売管理;サプライチェーン;調達・購買
選択肢: 製造業;流通/小売;金融;医療/ヘルスケア;公共;建設;バックオフィス;物流/SCM;教育;不動産;その他</t>
      </text>
    </comment>
    <comment ref="E15" authorId="0" shapeId="0">
      <text>
        <t>設問: 自社の強み・保有IP
必須: 任意
入力ガイド: 例：業界特化の業務ロジック、マスタ管理、導入ノウハウ、既存顧客データ、テンプレート
入力例: 生産・販売統合型の業務ロジック、製造業向けマスタ/実績データ、導入実績、周辺DXソリューションとの接続可能性。</t>
      </text>
    </comment>
    <comment ref="E16" authorId="0" shapeId="0">
      <text>
        <t>設問: 入力者氏名
必須: 必須
入力ガイド: 例：山田 太郎</t>
      </text>
    </comment>
    <comment ref="E17" authorId="0" shapeId="0">
      <text>
        <t>設問: 入力者メール
必須: 必須
入力ガイド: 例：name@example.co.jp</t>
      </text>
    </comment>
    <comment ref="E18" authorId="0" shapeId="0">
      <text>
        <t>設問: 入力者所属/役職
必須: 任意
入力ガイド: 例：CTO、プロダクト責任者、開発責任者、営業責任者</t>
      </text>
    </comment>
    <comment ref="E20" authorId="0" shapeId="0">
      <text>
        <t>設問: 今回のAssessment対象範囲
必須: 必須
入力ガイド: 既存サービスに加え、本番環境構築中・開発中・構想中の新サービスも対象にできます。
選択肢: 既存SaaS/クラウドサービス;既存パッケージ;新規サービス/新規SaaS;本番環境構築中;開発中;構想中;複数プロジェクト横断</t>
      </text>
    </comment>
    <comment ref="E21" authorId="0" shapeId="0">
      <text>
        <t>設問: 対象プロジェクト数
必須: 任意
入力ガイド: Microsoft Formsでは最大3件分の入力欄を用意しています。3件超の場合は補足欄に記入してください。
選択肢: 1件;2件;3件以上;未定</t>
      </text>
    </comment>
    <comment ref="E22" authorId="0" shapeId="0">
      <text>
        <t>設問: プロジェクト1：プロジェクト/製品名
必須: 必須
入力ガイド: 例：既存SaaS、構築中サービス、開発中プロダクト
入力例: Factory-ONE 電脳工場 データ活用</t>
      </text>
    </comment>
    <comment ref="E23" authorId="0" shapeId="0">
      <text>
        <t>設問: プロジェクト1：段階
必須: 必須
入力ガイド: 現在の開発/運用段階を選択してください。
入力例: 本番運用中
選択肢: 本番運用中;本番環境構築中;開発中;構想中;PoC中;未定</t>
      </text>
    </comment>
    <comment ref="E24" authorId="0" shapeId="0">
      <text>
        <t>設問: プロジェクト1：優先度
必須: 必須
入力ガイド: 現時点の優先度で構いません。
入力例: 高
選択肢: 高;中;低;未定</t>
      </text>
    </comment>
    <comment ref="E25" authorId="0" shapeId="0">
      <text>
        <t>設問: プロジェクト1：AI活用の狙い・確認したいこと
必須: 必須
入力ガイド: 例：データ活用、AI機能を初期リリースに含めるか、運用データ蓄積後に段階導入するか
入力例: 既存データを活用し、需給・在庫、生産計画、原価・調達のAIユースケースを検討する。</t>
      </text>
    </comment>
    <comment ref="E26" authorId="0" shapeId="0">
      <text>
        <t>設問: プロジェクト2：プロジェクト/製品名
必須: 任意
入力ガイド: 例：既存SaaS、構築中サービス、開発中プロダクト
入力例: こうばWith</t>
      </text>
    </comment>
    <comment ref="E27" authorId="0" shapeId="0">
      <text>
        <t>設問: プロジェクト2：段階
必須: 任意
入力ガイド: 現在の開発/運用段階を選択してください。
入力例: 本番環境構築中
選択肢: 本番運用中;本番環境構築中;開発中;構想中;PoC中;未定</t>
      </text>
    </comment>
    <comment ref="E28" authorId="0" shapeId="0">
      <text>
        <t>設問: プロジェクト2：優先度
必須: 任意
入力ガイド: 現時点の優先度で構いません。
入力例: 中
選択肢: 高;中;低;未定</t>
      </text>
    </comment>
    <comment ref="E29" authorId="0" shapeId="0">
      <text>
        <t>設問: プロジェクト2：AI活用の狙い・確認したいこと
必須: 任意
入力ガイド: 例：データ活用、AI機能を初期リリースに含めるか、運用データ蓄積後に段階導入するか
入力例: 本番データの種類、保持場所、テナント構成、運用監視、AI機能の段階導入可否を確認する。</t>
      </text>
    </comment>
    <comment ref="E30" authorId="0" shapeId="0">
      <text>
        <t>設問: プロジェクト3：プロジェクト/製品名
必須: 任意
入力ガイド: 例：既存SaaS、構築中サービス、開発中プロダクト
入力例: Endeval（旧Endevor）</t>
      </text>
    </comment>
    <comment ref="E31" authorId="0" shapeId="0">
      <text>
        <t>設問: プロジェクト3：段階
必須: 任意
入力ガイド: 現在の開発/運用段階を選択してください。
入力例: 開発中
選択肢: 本番運用中;本番環境構築中;開発中;構想中;PoC中;未定</t>
      </text>
    </comment>
    <comment ref="E32" authorId="0" shapeId="0">
      <text>
        <t>設問: プロジェクト3：優先度
必須: 任意
入力ガイド: 現時点の優先度で構いません。
入力例: 中
選択肢: 高;中;低;未定</t>
      </text>
    </comment>
    <comment ref="E33" authorId="0" shapeId="0">
      <text>
        <t>設問: プロジェクト3：AI活用の狙い・確認したいこと
必須: 任意
入力ガイド: 例：データ活用、AI機能を初期リリースに含めるか、運用データ蓄積後に段階導入するか
入力例: 構成検討中のため、事業目的、対象業務、アーキテクチャ、AI活用の狙いを整理する。</t>
      </text>
    </comment>
    <comment ref="E35" authorId="0" shapeId="0">
      <text>
        <t>設問: 主対象製品/サービス名
必須: 必須
入力ガイド: 例：生産管理SaaS、EDIサービス、グループウェア、周辺ソリューション
入力例: Factory-ONE 電脳工場</t>
      </text>
    </comment>
    <comment ref="E36" authorId="0" shapeId="0">
      <text>
        <t>設問: 提供形態
必須: 任意
入力ガイド: 複数選択可。
入力例: パッケージ;クラウドサービス
選択肢: SaaS;パッケージ;オンプレミス;クラウドサービス;プラットフォーム;導入支援/コンサル;保守/運用支援;その他</t>
      </text>
    </comment>
    <comment ref="E37" authorId="0" shapeId="0">
      <text>
        <t>設問: 位置づけ・提供価値
必須: 任意
入力ガイド: 例：中堅・中小製造業向けの生産・販売統合型システム
入力例: 中堅・中小製造業向けの生産・販売統合型の生産管理システム。</t>
      </text>
    </comment>
    <comment ref="E38" authorId="0" shapeId="0">
      <text>
        <t>設問: 代表的な機能・業務範囲
必須: 必須
入力ガイド: 例：受注、出荷、生産計画、発注、受入、在庫、進捗、原価、請求
入力例: 生産計画、受注・出荷、手配計画、発注、受入、在庫、負荷、進捗、原価、請求、売掛、入金、仕入、買掛、支払。</t>
      </text>
    </comment>
    <comment ref="E39" authorId="0" shapeId="0">
      <text>
        <t>設問: 関連データ領域
必須: 必須
入力ガイド: 例：マスタ、実績、履歴、文書、外部データ、取引先データ
入力例: 品目、BOM、取引先、工程などのマスタ、受注/生産/在庫/購買/原価などの実績、納期変更履歴、EDI受注取込。</t>
      </text>
    </comment>
    <comment ref="E40" authorId="0" shapeId="0">
      <text>
        <t>設問: 関連/拡張ソリューション
必須: 任意
入力ガイド: 例：在庫診断、価格シミュレータ、現品照合、帳票、スケジューラ
入力例: EX在庫診断/EX在庫シミュレータ、EX調達価格シミュレータ、EXQR現品照合。</t>
      </text>
    </comment>
    <comment ref="E41" authorId="0" shapeId="0">
      <text>
        <t>設問: カスタマイズ/個社対応の状況
必須: 任意
入力ガイド: 例：ソース公開、個社カスタマイズあり、共通機能化可能な範囲
入力例: パッケージでありつつソース公開を行い、利用企業側でのカスタマイズも可能。共通AI機能と個社固有拡張の切り分けが必要。</t>
      </text>
    </comment>
    <comment ref="E42" authorId="0" shapeId="0">
      <text>
        <t>設問: 追加対象製品・サービスがあれば記入してください
必須: 任意
入力ガイド: 複数製品を横断して評価したい場合に記入してください。
入力例: EXtelligence EDIFAS：クラウド型EDI（調達・購買）サービス。見積、受発注、入出荷、API/CSV連携、電子帳簿保存法対応ストレージ保存。</t>
      </text>
    </comment>
    <comment ref="E44" authorId="0" shapeId="0">
      <text>
        <t>設問: ターゲット顧客規模
必須: 任意
入力ガイド: 複数選択可。
入力例: 中堅企業;SMB
選択肢: SMB;中堅企業;大企業;エンタープライズ;公共;海外;未定</t>
      </text>
    </comment>
    <comment ref="E45" authorId="0" shapeId="0">
      <text>
        <t>設問: 価格形態
必須: 任意
入力ガイド: 現行サービスの価格形態を選択してください。
入力例: 月額サブスクリプション;保守費;個別見積
選択肢: 月額サブスクリプション;年額サブスクリプション;ユーザー課金;テナント課金;API/利用量課金;初期費用;保守費;ライセンス買い切り;個別見積</t>
      </text>
    </comment>
    <comment ref="E46" authorId="0" shapeId="0">
      <text>
        <t>設問: ライセンス形式
必須: 任意
入力ガイド: 該当するライセンス形式を選択してください。
選択肢: Named User;Concurrent User;Site License;Tenant License;Device/拠点課金;API Call;Transaction;その他</t>
      </text>
    </comment>
    <comment ref="E47" authorId="0" shapeId="0">
      <text>
        <t>設問: 現行収益モデル
必須: 任意
入力ガイド: 例：月額利用料、導入支援、カスタマイズ、保守、オプション機能
入力例: パッケージ/クラウド利用料、導入コンサルティング、カスタマイズ開発、稼働支援、保守。</t>
      </text>
    </comment>
    <comment ref="E48" authorId="0" shapeId="0">
      <text>
        <t>設問: AI機能の想定収益モデル
必須: 任意
入力ガイド: 現時点の仮説で構いません。
入力例: AIアドオン;上位プラン;AI Agent実行回数課金;標準機能化による解約率低減
選択肢: AIアドオン;上位プラン;利用量課金;AI Agent実行回数課金;帳票/文書処理件数課金;成果/業務KPI連動;標準機能化による解約率低減;未定</t>
      </text>
    </comment>
    <comment ref="E49" authorId="0" shapeId="0">
      <text>
        <t>設問: 主な競合製品・競合企業
必須: 任意
入力ガイド: 例：競合A、競合B、内製システム、特定業界PKG
入力例: 同業生産管理パッケージ、ERP、製造業向けSaaS、内製システム。詳細は顧客ヒアリングで確認。</t>
      </text>
    </comment>
    <comment ref="E50" authorId="0" shapeId="0">
      <text>
        <t>設問: 競合と比較したAI差別化仮説
必須: 任意
入力ガイド: 断定ではなく現時点の仮説で構いません。公開情報、勝ち負け理由、自社データで差別化できる領域を記入してください。
入力例: 生産管理・販売管理・EDI・現場帳票などのデータを横断し、需要予測、納期遅延予兆、在庫リスク、調達価格影響を説明できるAI機能を提供することで差別化する仮説。</t>
      </text>
    </comment>
    <comment ref="E51" authorId="0" shapeId="0">
      <text>
        <t>設問: 市場投入上の課題・懸念
必須: 任意
入力ガイド: 例：価格、競合、社内体制、営業説明、顧客のAI利用許諾、サポート体制</t>
      </text>
    </comment>
    <comment ref="E53" authorId="0" shapeId="0">
      <text>
        <t>設問: 保有データ・業務IP
必須: 必須
入力ガイド: AI活用に使えそうなマスタ、実績、履歴、文書、業務ルール、ノウハウを記入してください。
入力例: 品目マスタ、BOM、取引先、工程、受注、出荷、生産計画、発注、受入、在庫、負荷、進捗、原価、請求、売掛、入金、仕入、買掛、支払、EDI取引、現場帳票、問い合わせ/マニュアル。</t>
      </text>
    </comment>
    <comment ref="E54" authorId="0" shapeId="0">
      <text>
        <t>設問: データ種別
必須: 任意
入力ガイド: 複数選択可。
入力例: マスタデータ;トランザクション;文書/PDF/マニュアル;外部データ/API;複数企業間データ
選択肢: マスタデータ;トランザクション;文書/PDF/マニュアル;ログ/利用履歴;画像/図面/帳票;音声/会話;外部データ/API;複数企業間データ;個人情報/機密情報を含む</t>
      </text>
    </comment>
    <comment ref="E55" authorId="0" shapeId="0">
      <text>
        <t>設問: データの所在・保持場所
必須: 任意
入力ガイド: 複数選択可。
入力例: 自社SaaS DB;顧客環境;外部基幹システム;EDI/外部取引基盤;ファイル/文書ストレージ
選択肢: 自社SaaS DB;顧客環境;外部基幹システム;ファイル/文書ストレージ;DWH/Datamart;Object Storage;EDI/外部取引基盤;未定</t>
      </text>
    </comment>
    <comment ref="E56" authorId="0" shapeId="0">
      <text>
        <t>設問: データ形式・連携方式
必須: 任意
入力ガイド: 複数選択可。
入力例: RDB;CSV;API;EDI;PDF/文書;画像/帳票
選択肢: RDB;CSV;API;EDI;PDF/文書;画像/帳票;ログ;音声;その他</t>
      </text>
    </comment>
    <comment ref="E57" authorId="0" shapeId="0">
      <text>
        <t>設問: データ量・更新頻度・品質
必須: 任意
入力ガイド: 例：履歴期間、件数、欠損、表記揺れ、マスタ整備状況、更新頻度
入力例: データ量、履歴期間、欠損、表記揺れ、マスタ整備状況、更新頻度は初回ヒアリングで確認。</t>
      </text>
    </comment>
    <comment ref="E58" authorId="0" shapeId="0">
      <text>
        <t>設問: テナント分離・顧客データ方針
必須: 任意
入力ガイド: 例：顧客テナントごとのデータ分離、顧客別DB、論理分離、共有データの有無
入力例: 顧客テナントごとのデータ分離、顧客データ利用許諾、匿名化/マスキング方針を確認。</t>
      </text>
    </comment>
    <comment ref="E59" authorId="0" shapeId="0">
      <text>
        <t>設問: データ利用許諾・匿名化/マスキング
必須: 任意
入力ガイド: 例：PoC利用可否、匿名化データ、サンプルデータ、顧客同意範囲
入力例: PoCで利用可能なサンプルデータ、匿名化データ、本番データ利用可否、顧客同意範囲を確認。</t>
      </text>
    </comment>
    <comment ref="E60" authorId="0" shapeId="0">
      <text>
        <t>設問: 複数企業/取引先データの取り扱い
必須: 任意
入力ガイド: EDI/サプライチェーン等で複数企業にまたがる場合、所有権、同意、共有範囲を記入してください。
入力例: EDIFAS等の複数企業データについて、利用目的、データ所有権、同意、越境/共有範囲を最初に整理する。</t>
      </text>
    </comment>
    <comment ref="E61" authorId="0" shapeId="0">
      <text>
        <t>設問: データ成熟度：必要データが存在する
必須: 任意
入力ガイド: 未整理 / 一部整理 / 整理済み / 検証済み / 不明 から選択してください。
選択肢: 未整理;一部整理;整理済み;検証済み;不明</t>
      </text>
    </comment>
    <comment ref="E62" authorId="0" shapeId="0">
      <text>
        <t>設問: データ成熟度：データ項目定義が明確
必須: 任意
入力ガイド: 未整理 / 一部整理 / 整理済み / 検証済み / 不明 から選択してください。
選択肢: 未整理;一部整理;整理済み;検証済み;不明</t>
      </text>
    </comment>
    <comment ref="E63" authorId="0" shapeId="0">
      <text>
        <t>設問: データ成熟度：データ品質を把握している
必須: 任意
入力ガイド: 未整理 / 一部整理 / 整理済み / 検証済み / 不明 から選択してください。
選択肢: 未整理;一部整理;整理済み;検証済み;不明</t>
      </text>
    </comment>
    <comment ref="E64" authorId="0" shapeId="0">
      <text>
        <t>設問: データ成熟度：顧客データ利用許諾が整理済み
必須: 任意
入力ガイド: 未整理 / 一部整理 / 整理済み / 検証済み / 不明 から選択してください。
選択肢: 未整理;一部整理;整理済み;検証済み;不明</t>
      </text>
    </comment>
    <comment ref="E65" authorId="0" shapeId="0">
      <text>
        <t>設問: データ成熟度：匿名化・マスキング方針がある
必須: 任意
入力ガイド: 未整理 / 一部整理 / 整理済み / 検証済み / 不明 から選択してください。
選択肢: 未整理;一部整理;整理済み;検証済み;不明</t>
      </text>
    </comment>
    <comment ref="E66" authorId="0" shapeId="0">
      <text>
        <t>設問: データ成熟度：API・連携方式がある
必須: 任意
入力ガイド: 未整理 / 一部整理 / 整理済み / 検証済み / 不明 から選択してください。
選択肢: 未整理;一部整理;整理済み;検証済み;不明</t>
      </text>
    </comment>
    <comment ref="E68" authorId="0" shapeId="0">
      <text>
        <t>設問: AI活用目的
必須: 必須
入力ガイド: 複数選択可。
入力例: 新サービス開発・収益増;競合差別化;業務効率化・運用効率化;顧客体験向上;コスト/原価率改善
選択肢: 新サービス開発・収益増;競合差別化;業務効率化・運用効率化;顧客体験向上;従業員体験向上;コスト/原価率改善;リスク低減・品質向上;開発生産性向上</t>
      </text>
    </comment>
    <comment ref="E69" authorId="0" shapeId="0">
      <text>
        <t>設問: AIで何を行いたいか
必須: 必須
入力ガイド: 例：需給・在庫の予測、問い合わせ対応、自然言語検索、文書生成、業務支援Agent
入力例: 需給・在庫の予測、欠品/過剰在庫リスク検知、納期遅延予兆、負荷偏り検知、調達価格変動の利益影響予測、製造・生産管理の問い合わせ対応、マニュアル/過去事例検索。</t>
      </text>
    </comment>
    <comment ref="E70" authorId="0" shapeId="0">
      <text>
        <t>設問: 期待するAI機能・サービス内容
必須: 任意
入力ガイド: 複数選択可。
入力例: RAG/ナレッジ検索;自然言語でのデータ問い合わせ;予測;異常検知;AI Agentによる業務実行支援;文書/帳票生成
選択肢: RAG/ナレッジ検索;自然言語でのデータ問い合わせ;要約;文書/帳票生成;予測;異常検知;最適化/推薦;画像・帳票認識;音声/議事録;AI Agentによる業務実行支援;コード/開発支援;運用監視</t>
      </text>
    </comment>
    <comment ref="E71" authorId="0" shapeId="0">
      <text>
        <t>設問: AIの実行レベル
必須: 任意
入力ガイド: AIがどこまで行う想定かを選択してください。
入力例: 提案・推奨まで
選択肢: 説明/回答のみ;提案・推奨まで;人間承認後に実行;条件付きで自動実行;完全自動実行を検討;未定</t>
      </text>
    </comment>
    <comment ref="E72" authorId="0" shapeId="0">
      <text>
        <t>設問: 人による確認/承認が必要な場面
必須: 任意
入力ガイド: 例：発注、計画変更、価格提示、外部通知、顧客データ参照、法令判断
入力例: 計画変更、発注、外部通知、価格提示、顧客データをまたぐ分析は人間承認を前提とする。</t>
      </text>
    </comment>
    <comment ref="E73" authorId="0" shapeId="0">
      <text>
        <t>設問: 期待するKPI/ビジネス効果
必須: 任意
入力ガイド: 例：問い合わせ一次解決率、回答精度、業務時間削減、在庫削減、納期遵守率、ARPU向上、解約率低下
入力例: 在庫削減、欠品/過剰在庫の抑制、納期遵守率向上、問い合わせ対応時間削減、計画変更判断の迅速化、AI機能による新規収益化。</t>
      </text>
    </comment>
    <comment ref="E74" authorId="0" shapeId="0">
      <text>
        <t>設問: AI機能の想定利用者
必須: 任意
入力ガイド: 複数選択可。
選択肢: エンドユーザー;管理者;経営/管理職;サポート担当;開発/運用担当;顧客企業のIT部門;取引先/サプライヤー;その他</t>
      </text>
    </comment>
    <comment ref="E76" authorId="0" shapeId="0">
      <text>
        <t>設問: ユースケース1：名称
必須: 必須
入力ガイド: 例：需要予測・在庫最適化、納期遅延予兆、AI業務アシスタント
入力例: 需要予測・在庫最適化</t>
      </text>
    </comment>
    <comment ref="E77" authorId="0" shapeId="0">
      <text>
        <t>設問: ユースケース1：業務領域
必須: 必須
入力ガイド: 該当する業務領域を選択してください。
入力例: 需給・在庫
選択肢: 需給・在庫;生産計画・進捗;原価・調達;業務支援;サプライチェーン;製品開発・運用;カスタマーサポート;セキュリティ;その他</t>
      </text>
    </comment>
    <comment ref="E78" authorId="0" shapeId="0">
      <text>
        <t>設問: ユースケース1：優先度
必須: 必須
入力ガイド: 現時点の優先度で構いません。
入力例: 高
選択肢: 高;中;低;未定</t>
      </text>
    </comment>
    <comment ref="E79" authorId="0" shapeId="0">
      <text>
        <t>設問: ユースケース1：利用シナリオ
必須: 必須
入力ガイド: 誰が、どの業務で、どのようにAIを利用するかを記入してください。
入力例: 販売/受注/在庫履歴から将来需要を予測し、安全在庫・発注点を提案する。</t>
      </text>
    </comment>
    <comment ref="E80" authorId="0" shapeId="0">
      <text>
        <t>設問: ユースケース1：必要データ
必須: 必須
入力ガイド: 例：販売/受注履歴、在庫、品目、BOM、リードタイム、マニュアル、FAQ
入力例: 販売/受注履歴、在庫、品目、BOM、リードタイム、発注履歴、季節性データ。</t>
      </text>
    </comment>
    <comment ref="E81" authorId="0" shapeId="0">
      <text>
        <t>設問: ユースケース1：想定AI技術
必須: 任意
入力ガイド: 複数選択可。
入力例: 予測/時系列分析;生成AI;データ可視化
選択肢: 生成AI;RAG;Vector Search;AI Agent;自然言語SQL/NL2SQL;予測/時系列分析;異常検知;最適化;画像認識;文書理解/OCR;音声認識;データ可視化;Human-in-the-loop</t>
      </text>
    </comment>
    <comment ref="E82" authorId="0" shapeId="0">
      <text>
        <t>設問: ユースケース1：期待効果/KPI
必須: 任意
入力ガイド: 例：在庫削減率、欠品率、問い合わせ一次解決率、サポート工数削減
入力例: 在庫削減率、欠品率、過剰在庫額、発注判断時間。</t>
      </text>
    </comment>
    <comment ref="E83" authorId="0" shapeId="0">
      <text>
        <t>設問: ユースケース2：名称
必須: 任意
入力ガイド: 例：需要予測・在庫最適化、納期遅延予兆、AI業務アシスタント
入力例: 納期遅延予兆・計画変更影響説明</t>
      </text>
    </comment>
    <comment ref="E84" authorId="0" shapeId="0">
      <text>
        <t>設問: ユースケース2：業務領域
必須: 任意
入力ガイド: 該当する業務領域を選択してください。
入力例: 生産計画・進捗
選択肢: 需給・在庫;生産計画・進捗;原価・調達;業務支援;サプライチェーン;製品開発・運用;カスタマーサポート;セキュリティ;その他</t>
      </text>
    </comment>
    <comment ref="E85" authorId="0" shapeId="0">
      <text>
        <t>設問: ユースケース2：優先度
必須: 任意
入力ガイド: 現時点の優先度で構いません。
入力例: 高
選択肢: 高;中;低;未定</t>
      </text>
    </comment>
    <comment ref="E86" authorId="0" shapeId="0">
      <text>
        <t>設問: ユースケース2：利用シナリオ
必須: 任意
入力ガイド: 誰が、どの業務で、どのようにAIを利用するかを記入してください。
入力例: 生産計画、進捗、負荷、在庫、購買状況をもとに遅延リスクを検知し、影響範囲を自然言語で説明する。</t>
      </text>
    </comment>
    <comment ref="E87" authorId="0" shapeId="0">
      <text>
        <t>設問: ユースケース2：必要データ
必須: 任意
入力ガイド: 例：販売/受注履歴、在庫、品目、BOM、リードタイム、マニュアル、FAQ
入力例: 生産計画、進捗、負荷、工程、受注、納期変更履歴、購買/在庫。</t>
      </text>
    </comment>
    <comment ref="E88" authorId="0" shapeId="0">
      <text>
        <t>設問: ユースケース2：想定AI技術
必須: 任意
入力ガイド: 複数選択可。
入力例: 異常検知;予測/時系列分析;生成AI;RAG
選択肢: 生成AI;RAG;Vector Search;AI Agent;自然言語SQL/NL2SQL;予測/時系列分析;異常検知;最適化;画像認識;文書理解/OCR;音声認識;データ可視化;Human-in-the-loop</t>
      </text>
    </comment>
    <comment ref="E89" authorId="0" shapeId="0">
      <text>
        <t>設問: ユースケース2：期待効果/KPI
必須: 任意
入力ガイド: 例：在庫削減率、欠品率、問い合わせ一次解決率、サポート工数削減
入力例: 納期遵守率、遅延検知リードタイム、計画変更工数。</t>
      </text>
    </comment>
    <comment ref="E90" authorId="0" shapeId="0">
      <text>
        <t>設問: ユースケース3：名称
必須: 任意
入力ガイド: 例：需要予測・在庫最適化、納期遅延予兆、AI業務アシスタント
入力例: 製造業務AIアシスタント</t>
      </text>
    </comment>
    <comment ref="E91" authorId="0" shapeId="0">
      <text>
        <t>設問: ユースケース3：業務領域
必須: 任意
入力ガイド: 該当する業務領域を選択してください。
入力例: 業務支援
選択肢: 需給・在庫;生産計画・進捗;原価・調達;業務支援;サプライチェーン;製品開発・運用;カスタマーサポート;セキュリティ;その他</t>
      </text>
    </comment>
    <comment ref="E92" authorId="0" shapeId="0">
      <text>
        <t>設問: ユースケース3：優先度
必須: 任意
入力ガイド: 現時点の優先度で構いません。
入力例: 中
選択肢: 高;中;低;未定</t>
      </text>
    </comment>
    <comment ref="E93" authorId="0" shapeId="0">
      <text>
        <t>設問: ユースケース3：利用シナリオ
必須: 任意
入力ガイド: 誰が、どの業務で、どのようにAIを利用するかを記入してください。
入力例: ユーザーが自然言語で操作方法、過去事例、在庫/受注/生産状況を問い合わせ、根拠付き回答を受け取る。</t>
      </text>
    </comment>
    <comment ref="E94" authorId="0" shapeId="0">
      <text>
        <t>設問: ユースケース3：必要データ
必須: 任意
入力ガイド: 例：販売/受注履歴、在庫、品目、BOM、リードタイム、マニュアル、FAQ
入力例: 製品マニュアル、FAQ、過去問い合わせ、業務データ、権限情報。</t>
      </text>
    </comment>
    <comment ref="E95" authorId="0" shapeId="0">
      <text>
        <t>設問: ユースケース3：想定AI技術
必須: 任意
入力ガイド: 複数選択可。
入力例: RAG;Vector Search;生成AI;Human-in-the-loop
選択肢: 生成AI;RAG;Vector Search;AI Agent;自然言語SQL/NL2SQL;予測/時系列分析;異常検知;最適化;画像認識;文書理解/OCR;音声認識;データ可視化;Human-in-the-loop</t>
      </text>
    </comment>
    <comment ref="E96" authorId="0" shapeId="0">
      <text>
        <t>設問: ユースケース3：期待効果/KPI
必須: 任意
入力ガイド: 例：在庫削減率、欠品率、問い合わせ一次解決率、サポート工数削減
入力例: 問い合わせ一次解決率、回答精度、サポート工数削減、顧客満足度。</t>
      </text>
    </comment>
    <comment ref="E98" authorId="0" shapeId="0">
      <text>
        <t>設問: 現行アーキテクチャ概要
必須: 任意
入力ガイド: クラウド、DB、API、認証、テナント構成、外部連携、画面/バックエンド構成を記入してください。
入力例: 現行プラットフォーム、DB、API、認証、テナント構成、データ連携図を確認。</t>
      </text>
    </comment>
    <comment ref="E99" authorId="0" shapeId="0">
      <text>
        <t>設問: 利用中クラウド/基盤
必須: 任意
入力ガイド: 複数選択可。
選択肢: AWS;Azure;Google Cloud;OCI;オンプレミス;自社DC;SaaS/PaaS;未定/非公開</t>
      </text>
    </comment>
    <comment ref="E100" authorId="0" shapeId="0">
      <text>
        <t>設問: 利用中DB/データ基盤
必須: 任意
入力ガイド: 複数選択可。
選択肢: Oracle Database;PostgreSQL;MySQL;SQL Server;NoSQL;DWH;Data Lake;Search Engine;その他</t>
      </text>
    </comment>
    <comment ref="E101" authorId="0" shapeId="0">
      <text>
        <t>設問: API・認証・外部連携
必須: 任意
入力ガイド: 例：REST API、CSV連携、EDI、SAML/OIDC、顧客別認証、外部基幹システム連携
入力例: 外部基幹システムとのAPI/CSV連携、EDI、認証、権限制御、既存業務画面との連携方式を確認。</t>
      </text>
    </comment>
    <comment ref="E102" authorId="0" shapeId="0">
      <text>
        <t>設問: OCI上で求める範囲
必須: 任意
入力ガイド: 複数選択可。
入力例: データ基盤;生成AI;RAG;AI Agent;Vector Search;アプリ連携;セキュリティ;監視・運用
選択肢: データ基盤;生成AI;RAG;AI Agent;Vector Search;アプリ連携;セキュリティ;監視・運用;移行/マルチクラウド;PoC環境;未定</t>
      </text>
    </comment>
    <comment ref="E103" authorId="0" shapeId="0">
      <text>
        <t>設問: 非機能要件
必須: 任意
入力ガイド: 例：画面応答、AI回答時間、可用性、コスト、監査ログ、DR、運用監視、マルチテナント性能
入力例: 画面応答、AI回答時間、可用性、コスト、監査ログ、DR、運用監視、マルチテナント性能。</t>
      </text>
    </comment>
    <comment ref="E104" authorId="0" shapeId="0">
      <text>
        <t>設問: 既存制約・移行条件
必須: 任意
入力ガイド: 例：既存顧客環境、契約、レガシー連携、クラウド制約、データ移行制約</t>
      </text>
    </comment>
    <comment ref="E105" authorId="0" shapeId="0">
      <text>
        <t>設問: Oracle/OCIに相談したいこと
必須: 任意
入力ガイド: 例：アーキテクチャ、コスト、AI精度、セキュリティ、PoC、共同GTM</t>
      </text>
    </comment>
    <comment ref="E107" authorId="0" shapeId="0">
      <text>
        <t>設問: セキュリティ要件
必須: 任意
入力ガイド: 複数選択可。
入力例: テナント分離;暗号化;アクセス制御;監査ログ;プロンプト/入力制御;出力フィルタリング
選択肢: テナント分離;暗号化;アクセス制御;監査ログ;ネットワーク分離;キー管理;データ保管場所;脆弱性管理;プロンプト/入力制御;出力フィルタリング</t>
      </text>
    </comment>
    <comment ref="E108" authorId="0" shapeId="0">
      <text>
        <t>設問: 法規制・コンプライアンス
必須: 任意
入力ガイド: 例：個人情報、業界規制、電子帳簿保存法、顧客契約、越境/共有範囲
入力例: 個人情報、電子帳簿保存法、顧客契約、企業間データ共有、越境/共有範囲。</t>
      </text>
    </comment>
    <comment ref="E109" authorId="0" shapeId="0">
      <text>
        <t>設問: AI利用上の懸念・NG領域
必須: 任意
入力ガイド: 例：誤回答、説明責任、自動発注、価格提示、顧客データ横断利用、プロンプトインジェクション
入力例: 誤回答、説明責任、計画/発注への自動反映範囲、複数企業データの利用、プロンプトインジェクション。</t>
      </text>
    </comment>
    <comment ref="E110" authorId="0" shapeId="0">
      <text>
        <t>設問: 監査・ログ・運用管理
必須: 任意
入力ガイド: 例：質問履歴、参照データ、回答根拠、承認履歴、AI提案の採用/却下ログ
入力例: 質問履歴、参照データ、回答根拠、承認履歴、AI提案の採用/却下ログ。</t>
      </text>
    </comment>
    <comment ref="E111" authorId="0" shapeId="0">
      <text>
        <t>設問: 本番データ利用可能性
必須: 任意
入力ガイド: PoC/検証で利用できるデータの範囲を選択してください。
選択肢: 利用不可;匿名化データのみ可;サンプルデータのみ可;条件付きで本番データ可;個別合意後に判断;未定</t>
      </text>
    </comment>
    <comment ref="E112" authorId="0" shapeId="0">
      <text>
        <t>設問: 生成AI利用に関する社内承認状況
必須: 任意
入力ガイド: 現時点での社内承認状況を選択してください。
選択肢: 承認済み;条件付き承認;申請中;未承認;未確認</t>
      </text>
    </comment>
    <comment ref="E114" authorId="0" shapeId="0">
      <text>
        <t>設問: PoC対象顧客・対象業務
必須: 任意
入力ガイド: 例：既存顧客1社の在庫最適化、社内データでのRAG検証、構築中サービスの問い合わせ対応
入力例: 既存データが存在する電脳工場で価値仮説とデータ可用性を確認し、EDIFAS等の周辺データ接続可能性を評価。</t>
      </text>
    </comment>
    <comment ref="E115" authorId="0" shapeId="0">
      <text>
        <t>設問: 評価指標・本番化判断基準
必須: 任意
入力ガイド: 例：回答精度80%以上、検索根拠提示、処理時間、ユーザー評価、業務時間削減、コスト上限
入力例: 回答精度、予測精度、業務時間削減、在庫/納期KPI改善、レスポンス、コスト、ユーザー評価。</t>
      </text>
    </comment>
    <comment ref="E116" authorId="0" shapeId="0">
      <text>
        <t>設問: 希望スケジュール
必須: 任意
入力ガイド: 現時点の希望を選択してください。
入力例: 3ヶ月以内
選択肢: 1ヶ月以内;3ヶ月以内;6ヶ月以内;FY内;未定</t>
      </text>
    </comment>
    <comment ref="E117" authorId="0" shapeId="0">
      <text>
        <t>設問: 意思決定者・関係者
必須: 任意
入力ガイド: 例：CEO、CTO、プロダクト責任者、開発責任者、営業責任者、顧客代表
入力例: 事業責任者、CTO、プロダクト責任者、開発責任者、データ責任者、営業責任者。</t>
      </text>
    </comment>
    <comment ref="E118" authorId="0" shapeId="0">
      <text>
        <t>設問: Oracleへの期待・相談事項
必須: 任意
入力ガイド: AI AssessにあたりOracleへ事前に共有したい事項、制約、期待値、質問を記入してください。</t>
      </text>
    </comment>
    <comment ref="E119" authorId="0" shapeId="0">
      <text>
        <t>設問: アセスメント後に希望する次アクション
必須: 任意
入力ガイド: 複数選択可。
入力例: AI Use Case Assessment実施;RAG/Agent PoC;AI Database検証;セキュリティ相談
選択肢: AI Use Case Assessment実施;RAG/Agent PoC;AI Database検証;OCI移行/コスト相談;セキュリティ相談;共同GTM/Marketplace検討;未定</t>
      </text>
    </comment>
    <comment ref="E120" authorId="0" shapeId="0">
      <text>
        <t>設問: 提出予定資料
必須: 任意
入力ガイド: 複数選択可。ファイルは次の設問でアップロードしてください。
入力例: 製品紹介資料;画面キャプチャ;API仕様;データ項目一覧;業務フロー;システム構成図;FAQ;マニュアル;サンプルデータ
選択肢: 製品紹介資料;画面キャプチャ;API仕様;データ項目一覧;業務フロー;システム構成図;FAQ;マニュアル;サンプルデータ;なし/後日</t>
      </text>
    </comment>
    <comment ref="E121" authorId="0" shapeId="0">
      <text>
        <t>設問: 関連資料アップロード
必須: 任意
入力ガイド: 個人情報、顧客機密データ、本番データのアップロードは、貴社とOracle担当者の合意範囲・手順に従ってください。
選択肢: 最大10ファイルを想定。Microsoft Forms側で上限を設定してください。</t>
      </text>
    </comment>
    <comment ref="E122" authorId="0" shapeId="0">
      <text>
        <t>設問: その他補足
必須: 任意
入力ガイド: 制約、期待値、質問、追加製品、3件を超えるプロジェクト/ユースケースなどを記入してください。
入力例: 3プロジェクトの事業KPI、優先課題、意思決定者、リリース時期、データ利用許諾、連携図、PoC評価指標を初回ヒアリングで確定する。</t>
      </text>
    </comment>
    <comment ref="E123" authorId="0" shapeId="0">
      <text>
        <t>設問: 入力内容のOracle担当者・事務局への共有可否
必須: 必須
入力ガイド: 本回答をOracle担当者・アセスメント担当・必要な事務局メンバーに共有してよいか選択してください。
選択肢: 共有可;個別範囲を相談;共有不可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2" customWidth="1" min="2" max="2"/>
    <col width="52" customWidth="1" min="3" max="3"/>
    <col width="48" customWidth="1" min="4" max="4"/>
  </cols>
  <sheetData>
    <row r="1" ht="34" customHeight="1">
      <c r="A1" s="1" t="inlineStr">
        <is>
          <t>ISV AI Use Case Assessment 入力テンプレート</t>
        </is>
      </c>
    </row>
    <row r="2" ht="34" customHeight="1">
      <c r="A2" s="2" t="inlineStr">
        <is>
          <t>お客様がAIユースケース・事業/サービス情報をExcelで入力し、Oracle側でAI Use Case Assessmentに利用するためのワークブックです。</t>
        </is>
      </c>
    </row>
    <row r="4">
      <c r="A4" s="3" t="inlineStr">
        <is>
          <t>項目</t>
        </is>
      </c>
      <c r="B4" s="3" t="inlineStr">
        <is>
          <t>内容</t>
        </is>
      </c>
      <c r="C4" s="3" t="inlineStr">
        <is>
          <t>補足</t>
        </is>
      </c>
    </row>
    <row r="5" ht="48" customHeight="1">
      <c r="A5" s="4" t="inlineStr">
        <is>
          <t>目的</t>
        </is>
      </c>
      <c r="B5" s="4" t="inlineStr">
        <is>
          <t>自社SaaS/パッケージ、保有IP、業務データ、競合差別化、AIで実現したい機能を整理し、AIユースケース評価、OCI構成検討、PoC計画、レポート作成に活用します。</t>
        </is>
      </c>
      <c r="C5" s="4" t="inlineStr">
        <is>
          <t>入力フォームの回答欄に記入してください。</t>
        </is>
      </c>
    </row>
    <row r="6" ht="48" customHeight="1">
      <c r="A6" s="4" t="inlineStr">
        <is>
          <t>入力対象</t>
        </is>
      </c>
      <c r="B6" s="4" t="inlineStr">
        <is>
          <t>会社・事業概要、Assessment対象範囲、製品・サービス情報、顧客・価格・競合、データ/IP、AIで実現したいこと、AIユースケース候補、技術/OCI、セキュリティ、PoC条件。</t>
        </is>
      </c>
      <c r="C6" s="4" t="inlineStr">
        <is>
          <t>HTMLフォームおよびMicrosoft Forms設計書の10セクションをExcel化しています。</t>
        </is>
      </c>
    </row>
    <row r="7" ht="48" customHeight="1">
      <c r="A7" s="4" t="inlineStr">
        <is>
          <t>入力ルール</t>
        </is>
      </c>
      <c r="B7" s="4" t="inlineStr">
        <is>
          <t>水色セルが入力欄です。必須項目はオレンジ表示です。選択式の項目にはプルダウンを設定しています。複数選択の場合は「;」区切りで記入できます。</t>
        </is>
      </c>
      <c r="C7" s="4" t="inlineStr">
        <is>
          <t>例：SaaS;パッケージ;保守/運用支援</t>
        </is>
      </c>
    </row>
    <row r="8" ht="48" customHeight="1">
      <c r="A8" s="4" t="inlineStr">
        <is>
          <t>機密情報</t>
        </is>
      </c>
      <c r="B8" s="4" t="inlineStr">
        <is>
          <t>個人情報、顧客機密データ、本番データは、Oracle担当者と合意した範囲・手順に従ってください。Excel添付時は提出資料名/リンクのみ記載する運用を推奨します。</t>
        </is>
      </c>
      <c r="C8" s="4" t="inlineStr">
        <is>
          <t>本テンプレートはアセスメント事前整理用です。</t>
        </is>
      </c>
    </row>
    <row r="9" ht="48" customHeight="1">
      <c r="A9" s="4" t="inlineStr">
        <is>
          <t>提出方法</t>
        </is>
      </c>
      <c r="B9" s="4" t="inlineStr">
        <is>
          <t>入力後、ExcelファイルをSharePoint/Teams/メール等でOracle担当者へ共有してください。必要に応じて「登録用_縦持ち」シートをSharePoint List登録に利用できます。</t>
        </is>
      </c>
      <c r="C9" s="4" t="inlineStr">
        <is>
          <t>SharePoint登録列はForms設計書に合わせています。</t>
        </is>
      </c>
    </row>
    <row r="10" ht="48" customHeight="1">
      <c r="A10" s="4" t="inlineStr">
        <is>
          <t>利用シート</t>
        </is>
      </c>
      <c r="B10" s="4" t="inlineStr">
        <is>
          <t>ダッシュボード：入力進捗確認。入力フォーム：お客様記入欄。登録用_縦持ち：システム連携/登録用。入力例_エクス：サンプル。選択肢一覧：プルダウン元。Sources：出典。</t>
        </is>
      </c>
      <c r="C10" s="4" t="inlineStr">
        <is>
          <t>顧客に入力していただく主シートは「入力フォーム」です。</t>
        </is>
      </c>
    </row>
  </sheetData>
  <mergeCells count="2">
    <mergeCell ref="A2:H2"/>
    <mergeCell ref="A1:H1"/>
  </mergeCells>
  <pageMargins left="0.3" right="0.3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42" customWidth="1" min="8" max="8"/>
  </cols>
  <sheetData>
    <row r="1" ht="34" customHeight="1">
      <c r="A1" s="1" t="inlineStr">
        <is>
          <t>入力進捗ダッシュボード</t>
        </is>
      </c>
    </row>
    <row r="2" ht="34" customHeight="1">
      <c r="A2" s="2" t="inlineStr">
        <is>
          <t>必須項目の入力状況と、セクション別の完了状況を確認できます。</t>
        </is>
      </c>
    </row>
    <row r="4">
      <c r="A4" s="5" t="inlineStr">
        <is>
          <t>サマリー</t>
        </is>
      </c>
    </row>
    <row r="5">
      <c r="A5" s="6" t="inlineStr">
        <is>
          <t>必須項目数</t>
        </is>
      </c>
      <c r="B5" s="7">
        <f>COUNTIF('入力フォーム'!C:C,"必須")</f>
        <v/>
      </c>
    </row>
    <row r="6">
      <c r="A6" s="6" t="inlineStr">
        <is>
          <t>必須入力済</t>
        </is>
      </c>
      <c r="B6" s="7">
        <f>COUNTIFS('入力フォーム'!C:C,"必須",'入力フォーム'!E:E,"&lt;&gt;")</f>
        <v/>
      </c>
    </row>
    <row r="7">
      <c r="A7" s="6" t="inlineStr">
        <is>
          <t>必須未入力</t>
        </is>
      </c>
      <c r="B7" s="7">
        <f>B5-B6</f>
        <v/>
      </c>
    </row>
    <row r="8">
      <c r="A8" s="6" t="inlineStr">
        <is>
          <t>必須入力率</t>
        </is>
      </c>
      <c r="B8" s="8">
        <f>IF(B5=0,0,B6/B5)</f>
        <v/>
      </c>
    </row>
    <row r="9">
      <c r="A9" s="6" t="inlineStr">
        <is>
          <t>任意入力済</t>
        </is>
      </c>
      <c r="B9" s="7">
        <f>COUNTIFS('入力フォーム'!C:C,"任意",'入力フォーム'!E:E,"&lt;&gt;")</f>
        <v/>
      </c>
    </row>
    <row r="12">
      <c r="A12" s="3" t="inlineStr">
        <is>
          <t>セクションNo</t>
        </is>
      </c>
      <c r="B12" s="3" t="inlineStr">
        <is>
          <t>セクション名</t>
        </is>
      </c>
      <c r="C12" s="3" t="inlineStr">
        <is>
          <t>必須項目数</t>
        </is>
      </c>
      <c r="D12" s="3" t="inlineStr">
        <is>
          <t>必須入力済</t>
        </is>
      </c>
      <c r="E12" s="3" t="inlineStr">
        <is>
          <t>未入力</t>
        </is>
      </c>
      <c r="F12" s="3" t="inlineStr">
        <is>
          <t>入力率</t>
        </is>
      </c>
      <c r="G12" s="3" t="inlineStr">
        <is>
          <t>確認ポイント</t>
        </is>
      </c>
    </row>
    <row r="13">
      <c r="A13" s="9" t="n">
        <v>0</v>
      </c>
      <c r="B13" s="9" t="inlineStr">
        <is>
          <t>入力前の確認</t>
        </is>
      </c>
      <c r="C13" s="9">
        <f>COUNTIFS('入力フォーム'!A:A,A13,'入力フォーム'!C:C,"必須")</f>
        <v/>
      </c>
      <c r="D13" s="9">
        <f>COUNTIFS('入力フォーム'!A:A,A13,'入力フォーム'!C:C,"必須",'入力フォーム'!E:E,"&lt;&gt;")</f>
        <v/>
      </c>
      <c r="E13" s="9">
        <f>C13-D13</f>
        <v/>
      </c>
      <c r="F13" s="10">
        <f>IF(C13=0,"-",D13/C13)</f>
        <v/>
      </c>
      <c r="G13" s="9" t="inlineStr">
        <is>
          <t>未入力がある場合は「入力フォーム」シートの赤/オレンジ表示セルを確認</t>
        </is>
      </c>
    </row>
    <row r="14">
      <c r="A14" s="9" t="n">
        <v>1</v>
      </c>
      <c r="B14" s="9" t="inlineStr">
        <is>
          <t>会社・回答者情報</t>
        </is>
      </c>
      <c r="C14" s="9">
        <f>COUNTIFS('入力フォーム'!A:A,A14,'入力フォーム'!C:C,"必須")</f>
        <v/>
      </c>
      <c r="D14" s="9">
        <f>COUNTIFS('入力フォーム'!A:A,A14,'入力フォーム'!C:C,"必須",'入力フォーム'!E:E,"&lt;&gt;")</f>
        <v/>
      </c>
      <c r="E14" s="9">
        <f>C14-D14</f>
        <v/>
      </c>
      <c r="F14" s="10">
        <f>IF(C14=0,"-",D14/C14)</f>
        <v/>
      </c>
      <c r="G14" s="9" t="inlineStr">
        <is>
          <t>未入力がある場合は「入力フォーム」シートの赤/オレンジ表示セルを確認</t>
        </is>
      </c>
    </row>
    <row r="15">
      <c r="A15" s="9" t="n">
        <v>2</v>
      </c>
      <c r="B15" s="9" t="inlineStr">
        <is>
          <t>Assessment対象範囲</t>
        </is>
      </c>
      <c r="C15" s="9">
        <f>COUNTIFS('入力フォーム'!A:A,A15,'入力フォーム'!C:C,"必須")</f>
        <v/>
      </c>
      <c r="D15" s="9">
        <f>COUNTIFS('入力フォーム'!A:A,A15,'入力フォーム'!C:C,"必須",'入力フォーム'!E:E,"&lt;&gt;")</f>
        <v/>
      </c>
      <c r="E15" s="9">
        <f>C15-D15</f>
        <v/>
      </c>
      <c r="F15" s="10">
        <f>IF(C15=0,"-",D15/C15)</f>
        <v/>
      </c>
      <c r="G15" s="9" t="inlineStr">
        <is>
          <t>未入力がある場合は「入力フォーム」シートの赤/オレンジ表示セルを確認</t>
        </is>
      </c>
    </row>
    <row r="16">
      <c r="A16" s="9" t="n">
        <v>3</v>
      </c>
      <c r="B16" s="9" t="inlineStr">
        <is>
          <t>製品・サービス情報 / ISVアセット・IP</t>
        </is>
      </c>
      <c r="C16" s="9">
        <f>COUNTIFS('入力フォーム'!A:A,A16,'入力フォーム'!C:C,"必須")</f>
        <v/>
      </c>
      <c r="D16" s="9">
        <f>COUNTIFS('入力フォーム'!A:A,A16,'入力フォーム'!C:C,"必須",'入力フォーム'!E:E,"&lt;&gt;")</f>
        <v/>
      </c>
      <c r="E16" s="9">
        <f>C16-D16</f>
        <v/>
      </c>
      <c r="F16" s="10">
        <f>IF(C16=0,"-",D16/C16)</f>
        <v/>
      </c>
      <c r="G16" s="9" t="inlineStr">
        <is>
          <t>未入力がある場合は「入力フォーム」シートの赤/オレンジ表示セルを確認</t>
        </is>
      </c>
    </row>
    <row r="17">
      <c r="A17" s="9" t="n">
        <v>4</v>
      </c>
      <c r="B17" s="9" t="inlineStr">
        <is>
          <t>顧客・価格・競合</t>
        </is>
      </c>
      <c r="C17" s="9">
        <f>COUNTIFS('入力フォーム'!A:A,A17,'入力フォーム'!C:C,"必須")</f>
        <v/>
      </c>
      <c r="D17" s="9">
        <f>COUNTIFS('入力フォーム'!A:A,A17,'入力フォーム'!C:C,"必須",'入力フォーム'!E:E,"&lt;&gt;")</f>
        <v/>
      </c>
      <c r="E17" s="9">
        <f>C17-D17</f>
        <v/>
      </c>
      <c r="F17" s="10">
        <f>IF(C17=0,"-",D17/C17)</f>
        <v/>
      </c>
      <c r="G17" s="9" t="inlineStr">
        <is>
          <t>未入力がある場合は「入力フォーム」シートの赤/オレンジ表示セルを確認</t>
        </is>
      </c>
    </row>
    <row r="18">
      <c r="A18" s="9" t="n">
        <v>5</v>
      </c>
      <c r="B18" s="9" t="inlineStr">
        <is>
          <t>データ/IP・利用条件</t>
        </is>
      </c>
      <c r="C18" s="9">
        <f>COUNTIFS('入力フォーム'!A:A,A18,'入力フォーム'!C:C,"必須")</f>
        <v/>
      </c>
      <c r="D18" s="9">
        <f>COUNTIFS('入力フォーム'!A:A,A18,'入力フォーム'!C:C,"必須",'入力フォーム'!E:E,"&lt;&gt;")</f>
        <v/>
      </c>
      <c r="E18" s="9">
        <f>C18-D18</f>
        <v/>
      </c>
      <c r="F18" s="10">
        <f>IF(C18=0,"-",D18/C18)</f>
        <v/>
      </c>
      <c r="G18" s="9" t="inlineStr">
        <is>
          <t>未入力がある場合は「入力フォーム」シートの赤/オレンジ表示セルを確認</t>
        </is>
      </c>
    </row>
    <row r="19">
      <c r="A19" s="9" t="n">
        <v>6</v>
      </c>
      <c r="B19" s="9" t="inlineStr">
        <is>
          <t>AIで実現したいこと</t>
        </is>
      </c>
      <c r="C19" s="9">
        <f>COUNTIFS('入力フォーム'!A:A,A19,'入力フォーム'!C:C,"必須")</f>
        <v/>
      </c>
      <c r="D19" s="9">
        <f>COUNTIFS('入力フォーム'!A:A,A19,'入力フォーム'!C:C,"必須",'入力フォーム'!E:E,"&lt;&gt;")</f>
        <v/>
      </c>
      <c r="E19" s="9">
        <f>C19-D19</f>
        <v/>
      </c>
      <c r="F19" s="10">
        <f>IF(C19=0,"-",D19/C19)</f>
        <v/>
      </c>
      <c r="G19" s="9" t="inlineStr">
        <is>
          <t>未入力がある場合は「入力フォーム」シートの赤/オレンジ表示セルを確認</t>
        </is>
      </c>
    </row>
    <row r="20">
      <c r="A20" s="9" t="n">
        <v>7</v>
      </c>
      <c r="B20" s="9" t="inlineStr">
        <is>
          <t>AIユースケース候補</t>
        </is>
      </c>
      <c r="C20" s="9">
        <f>COUNTIFS('入力フォーム'!A:A,A20,'入力フォーム'!C:C,"必須")</f>
        <v/>
      </c>
      <c r="D20" s="9">
        <f>COUNTIFS('入力フォーム'!A:A,A20,'入力フォーム'!C:C,"必須",'入力フォーム'!E:E,"&lt;&gt;")</f>
        <v/>
      </c>
      <c r="E20" s="9">
        <f>C20-D20</f>
        <v/>
      </c>
      <c r="F20" s="10">
        <f>IF(C20=0,"-",D20/C20)</f>
        <v/>
      </c>
      <c r="G20" s="9" t="inlineStr">
        <is>
          <t>未入力がある場合は「入力フォーム」シートの赤/オレンジ表示セルを確認</t>
        </is>
      </c>
    </row>
    <row r="21">
      <c r="A21" s="9" t="n">
        <v>8</v>
      </c>
      <c r="B21" s="9" t="inlineStr">
        <is>
          <t>技術・OCI期待範囲</t>
        </is>
      </c>
      <c r="C21" s="9">
        <f>COUNTIFS('入力フォーム'!A:A,A21,'入力フォーム'!C:C,"必須")</f>
        <v/>
      </c>
      <c r="D21" s="9">
        <f>COUNTIFS('入力フォーム'!A:A,A21,'入力フォーム'!C:C,"必須",'入力フォーム'!E:E,"&lt;&gt;")</f>
        <v/>
      </c>
      <c r="E21" s="9">
        <f>C21-D21</f>
        <v/>
      </c>
      <c r="F21" s="10">
        <f>IF(C21=0,"-",D21/C21)</f>
        <v/>
      </c>
      <c r="G21" s="9" t="inlineStr">
        <is>
          <t>未入力がある場合は「入力フォーム」シートの赤/オレンジ表示セルを確認</t>
        </is>
      </c>
    </row>
    <row r="22">
      <c r="A22" s="9" t="n">
        <v>9</v>
      </c>
      <c r="B22" s="9" t="inlineStr">
        <is>
          <t>セキュリティ / ガバナンス</t>
        </is>
      </c>
      <c r="C22" s="9">
        <f>COUNTIFS('入力フォーム'!A:A,A22,'入力フォーム'!C:C,"必須")</f>
        <v/>
      </c>
      <c r="D22" s="9">
        <f>COUNTIFS('入力フォーム'!A:A,A22,'入力フォーム'!C:C,"必須",'入力フォーム'!E:E,"&lt;&gt;")</f>
        <v/>
      </c>
      <c r="E22" s="9">
        <f>C22-D22</f>
        <v/>
      </c>
      <c r="F22" s="10">
        <f>IF(C22=0,"-",D22/C22)</f>
        <v/>
      </c>
      <c r="G22" s="9" t="inlineStr">
        <is>
          <t>未入力がある場合は「入力フォーム」シートの赤/オレンジ表示セルを確認</t>
        </is>
      </c>
    </row>
    <row r="23">
      <c r="A23" s="9" t="n">
        <v>10</v>
      </c>
      <c r="B23" s="9" t="inlineStr">
        <is>
          <t>PoC・評価条件・提出資料</t>
        </is>
      </c>
      <c r="C23" s="9">
        <f>COUNTIFS('入力フォーム'!A:A,A23,'入力フォーム'!C:C,"必須")</f>
        <v/>
      </c>
      <c r="D23" s="9">
        <f>COUNTIFS('入力フォーム'!A:A,A23,'入力フォーム'!C:C,"必須",'入力フォーム'!E:E,"&lt;&gt;")</f>
        <v/>
      </c>
      <c r="E23" s="9">
        <f>C23-D23</f>
        <v/>
      </c>
      <c r="F23" s="10">
        <f>IF(C23=0,"-",D23/C23)</f>
        <v/>
      </c>
      <c r="G23" s="9" t="inlineStr">
        <is>
          <t>未入力がある場合は「入力フォーム」シートの赤/オレンジ表示セルを確認</t>
        </is>
      </c>
    </row>
    <row r="26">
      <c r="A26" s="11" t="inlineStr">
        <is>
          <t>次アクション</t>
        </is>
      </c>
    </row>
    <row r="27">
      <c r="A27" s="12" t="inlineStr">
        <is>
          <t>1. 「入力フォーム」シートの水色セルに記入してください。</t>
        </is>
      </c>
    </row>
    <row r="28">
      <c r="A28" s="12" t="inlineStr">
        <is>
          <t>2. 必須入力率が100%になったら、必要に応じて提出予定資料名/リンクを記入してください。</t>
        </is>
      </c>
    </row>
    <row r="29">
      <c r="A29" s="12" t="inlineStr">
        <is>
          <t>3. Oracle担当者は「登録用_縦持ち」シートをSharePoint List登録/レポート生成用に利用できます。</t>
        </is>
      </c>
    </row>
  </sheetData>
  <mergeCells count="7">
    <mergeCell ref="A27:G27"/>
    <mergeCell ref="A4:D4"/>
    <mergeCell ref="A2:H2"/>
    <mergeCell ref="A26:G26"/>
    <mergeCell ref="A29:G29"/>
    <mergeCell ref="A1:H1"/>
    <mergeCell ref="A28:G28"/>
  </mergeCells>
  <conditionalFormatting sqref="B7">
    <cfRule type="cellIs" priority="1" operator="greaterThan" dxfId="0">
      <formula>0</formula>
    </cfRule>
  </conditionalFormatting>
  <conditionalFormatting sqref="B8">
    <cfRule type="cellIs" priority="2" operator="greaterThanOrEqual" dxfId="1">
      <formula>1</formula>
    </cfRule>
  </conditionalFormatting>
  <conditionalFormatting sqref="E13:E23">
    <cfRule type="cellIs" priority="3" operator="greaterThan" dxfId="0">
      <formula>0</formula>
    </cfRule>
  </conditionalFormatting>
  <conditionalFormatting sqref="F13:F23">
    <cfRule type="cellIs" priority="4" operator="greaterThanOrEqual" dxfId="1">
      <formula>1</formula>
    </cfRule>
  </conditionalFormatting>
  <pageMargins left="0.3" right="0.3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36" customWidth="1" min="4" max="4"/>
    <col width="52" customWidth="1" min="5" max="5"/>
    <col width="50" customWidth="1" min="6" max="6"/>
    <col width="52" customWidth="1" min="7" max="7"/>
    <col width="22" customWidth="1" min="8" max="8"/>
    <col width="42" customWidth="1" min="9" max="9"/>
    <col width="30" customWidth="1" min="10" max="10"/>
    <col width="13" customWidth="1" min="11" max="11"/>
  </cols>
  <sheetData>
    <row r="1" ht="34" customHeight="1">
      <c r="A1" s="1" t="inlineStr">
        <is>
          <t>ISV AI Use Case Assessment 入力フォーム</t>
        </is>
      </c>
    </row>
    <row r="2" ht="34" customHeight="1">
      <c r="A2" s="2" t="inlineStr">
        <is>
          <t>水色セルに回答を入力してください。必須項目は未入力時に赤/オレンジで表示されます。複数選択は「;」区切りで記入できます。</t>
        </is>
      </c>
    </row>
    <row r="3" ht="34" customHeight="1">
      <c r="A3" s="13" t="inlineStr">
        <is>
          <t>注意：個人情報、顧客機密データ、本番データは、Oracle担当者と合意した範囲・手順に従ってください。添付ファイルは原則としてファイル名/SharePointリンクのみを記載してください。</t>
        </is>
      </c>
    </row>
    <row r="5">
      <c r="A5" s="3" t="inlineStr">
        <is>
          <t>セクションNo</t>
        </is>
      </c>
      <c r="B5" s="3" t="inlineStr">
        <is>
          <t>質問ID</t>
        </is>
      </c>
      <c r="C5" s="3" t="inlineStr">
        <is>
          <t>必須</t>
        </is>
      </c>
      <c r="D5" s="3" t="inlineStr">
        <is>
          <t>設問</t>
        </is>
      </c>
      <c r="E5" s="3" t="inlineStr">
        <is>
          <t>回答入力欄（お客様記入）</t>
        </is>
      </c>
      <c r="F5" s="3" t="inlineStr">
        <is>
          <t>入力ガイド/例</t>
        </is>
      </c>
      <c r="G5" s="3" t="inlineStr">
        <is>
          <t>入力例（エクス）</t>
        </is>
      </c>
      <c r="H5" s="3" t="inlineStr">
        <is>
          <t>設問タイプ</t>
        </is>
      </c>
      <c r="I5" s="3" t="inlineStr">
        <is>
          <t>選択肢/尺度</t>
        </is>
      </c>
      <c r="J5" s="3" t="inlineStr">
        <is>
          <t>SharePoint列名</t>
        </is>
      </c>
      <c r="K5" s="3" t="inlineStr">
        <is>
          <t>入力状況</t>
        </is>
      </c>
    </row>
    <row r="6" ht="24" customHeight="1">
      <c r="A6" s="14" t="inlineStr">
        <is>
          <t>0. 入力前の確認</t>
        </is>
      </c>
    </row>
    <row r="7" ht="66" customHeight="1">
      <c r="A7" s="15" t="n">
        <v>0</v>
      </c>
      <c r="B7" s="15" t="inlineStr">
        <is>
          <t>F001</t>
        </is>
      </c>
      <c r="C7" s="16" t="inlineStr">
        <is>
          <t>必須</t>
        </is>
      </c>
      <c r="D7" s="15" t="inlineStr">
        <is>
          <t>情報利用目的を確認しましたか？</t>
        </is>
      </c>
      <c r="E7" s="17" t="inlineStr"/>
      <c r="F7" s="15" t="inlineStr">
        <is>
          <t>本フォームは、ISV AI Use Case Assessmentの事前整理、AIユースケース評価、OCI構成検討、PoC計画、レポート作成に利用します。</t>
        </is>
      </c>
      <c r="G7" s="18" t="inlineStr"/>
      <c r="H7" s="15" t="inlineStr">
        <is>
          <t>Choice（単一選択）</t>
        </is>
      </c>
      <c r="I7" s="15" t="inlineStr">
        <is>
          <t>確認しました</t>
        </is>
      </c>
      <c r="J7" s="15" t="inlineStr">
        <is>
          <t>ConsentPurpose</t>
        </is>
      </c>
      <c r="K7" s="15">
        <f>IF($B7="","",IF($C7="必須",IF(LEN(TRIM($E7))&gt;0,"OK","未入力"),IF(LEN(TRIM($E7))&gt;0,"入力済","任意")))</f>
        <v/>
      </c>
    </row>
    <row r="8" ht="34" customHeight="1">
      <c r="A8" s="15" t="n">
        <v>0</v>
      </c>
      <c r="B8" s="15" t="inlineStr">
        <is>
          <t>F002</t>
        </is>
      </c>
      <c r="C8" s="16" t="inlineStr">
        <is>
          <t>必須</t>
        </is>
      </c>
      <c r="D8" s="15" t="inlineStr">
        <is>
          <t>本番データ・顧客機密データ・個人情報をアップロードしないことを確認しましたか？</t>
        </is>
      </c>
      <c r="E8" s="17" t="inlineStr"/>
      <c r="F8" s="15" t="inlineStr">
        <is>
          <t>添付資料は、Oracle担当者と合意した範囲の資料に限定してください。</t>
        </is>
      </c>
      <c r="G8" s="18" t="inlineStr"/>
      <c r="H8" s="15" t="inlineStr">
        <is>
          <t>Choice（単一選択）</t>
        </is>
      </c>
      <c r="I8" s="15" t="inlineStr">
        <is>
          <t>確認しました</t>
        </is>
      </c>
      <c r="J8" s="15" t="inlineStr">
        <is>
          <t>ConsentNoSensitiveUpload</t>
        </is>
      </c>
      <c r="K8" s="15">
        <f>IF($B8="","",IF($C8="必須",IF(LEN(TRIM($E8))&gt;0,"OK","未入力"),IF(LEN(TRIM($E8))&gt;0,"入力済","任意")))</f>
        <v/>
      </c>
    </row>
    <row r="9" ht="24" customHeight="1">
      <c r="A9" s="14" t="inlineStr">
        <is>
          <t>1. 会社・回答者情報</t>
        </is>
      </c>
    </row>
    <row r="10" ht="34" customHeight="1">
      <c r="A10" s="15" t="n">
        <v>1</v>
      </c>
      <c r="B10" s="15" t="inlineStr">
        <is>
          <t>F101</t>
        </is>
      </c>
      <c r="C10" s="16" t="inlineStr">
        <is>
          <t>必須</t>
        </is>
      </c>
      <c r="D10" s="15" t="inlineStr">
        <is>
          <t>会社名</t>
        </is>
      </c>
      <c r="E10" s="17" t="inlineStr"/>
      <c r="F10" s="15" t="inlineStr">
        <is>
          <t>例：株式会社〇〇</t>
        </is>
      </c>
      <c r="G10" s="18" t="inlineStr">
        <is>
          <t>株式会社エクス</t>
        </is>
      </c>
      <c r="H10" s="15" t="inlineStr">
        <is>
          <t>Text（短い回答）</t>
        </is>
      </c>
      <c r="I10" s="15" t="inlineStr"/>
      <c r="J10" s="15" t="inlineStr">
        <is>
          <t>CompanyName</t>
        </is>
      </c>
      <c r="K10" s="15">
        <f>IF($B10="","",IF($C10="必須",IF(LEN(TRIM($E10))&gt;0,"OK","未入力"),IF(LEN(TRIM($E10))&gt;0,"入力済","任意")))</f>
        <v/>
      </c>
    </row>
    <row r="11" ht="34" customHeight="1">
      <c r="A11" s="15" t="n">
        <v>1</v>
      </c>
      <c r="B11" s="15" t="inlineStr">
        <is>
          <t>F102</t>
        </is>
      </c>
      <c r="C11" s="19" t="inlineStr">
        <is>
          <t>任意</t>
        </is>
      </c>
      <c r="D11" s="15" t="inlineStr">
        <is>
          <t>会社URL</t>
        </is>
      </c>
      <c r="E11" s="17" t="inlineStr"/>
      <c r="F11" s="15" t="inlineStr">
        <is>
          <t>例：https://www.example.co.jp/</t>
        </is>
      </c>
      <c r="G11" s="18" t="inlineStr">
        <is>
          <t>https://www.xeex.co.jp/</t>
        </is>
      </c>
      <c r="H11" s="15" t="inlineStr">
        <is>
          <t>Text（短い回答）</t>
        </is>
      </c>
      <c r="I11" s="15" t="inlineStr"/>
      <c r="J11" s="15" t="inlineStr">
        <is>
          <t>CompanyURL</t>
        </is>
      </c>
      <c r="K11" s="15">
        <f>IF($B11="","",IF($C11="必須",IF(LEN(TRIM($E11))&gt;0,"OK","未入力"),IF(LEN(TRIM($E11))&gt;0,"入力済","任意")))</f>
        <v/>
      </c>
    </row>
    <row r="12" ht="66" customHeight="1">
      <c r="A12" s="15" t="n">
        <v>1</v>
      </c>
      <c r="B12" s="15" t="inlineStr">
        <is>
          <t>F103</t>
        </is>
      </c>
      <c r="C12" s="16" t="inlineStr">
        <is>
          <t>必須</t>
        </is>
      </c>
      <c r="D12" s="15" t="inlineStr">
        <is>
          <t>事業概要</t>
        </is>
      </c>
      <c r="E12" s="17" t="inlineStr"/>
      <c r="F12" s="15" t="inlineStr">
        <is>
          <t>製品単体ではなく、周辺サービス、導入支援、運用支援も含めて記入してください。</t>
        </is>
      </c>
      <c r="G12" s="18" t="inlineStr">
        <is>
          <t>製造業向けの生産管理パッケージを中核に、製造業向けクラウドサービス/プラットフォーム、DX関連サービス、導入コンサルティング、カスタマイズ開発、稼働支援、保守を提供するソフトウェアベンダー。</t>
        </is>
      </c>
      <c r="H12" s="15" t="inlineStr">
        <is>
          <t>Text（長い回答）</t>
        </is>
      </c>
      <c r="I12" s="15" t="inlineStr"/>
      <c r="J12" s="15" t="inlineStr">
        <is>
          <t>BusinessOverview</t>
        </is>
      </c>
      <c r="K12" s="15">
        <f>IF($B12="","",IF($C12="必須",IF(LEN(TRIM($E12))&gt;0,"OK","未入力"),IF(LEN(TRIM($E12))&gt;0,"入力済","任意")))</f>
        <v/>
      </c>
    </row>
    <row r="13" ht="66" customHeight="1">
      <c r="A13" s="15" t="n">
        <v>1</v>
      </c>
      <c r="B13" s="15" t="inlineStr">
        <is>
          <t>F104</t>
        </is>
      </c>
      <c r="C13" s="16" t="inlineStr">
        <is>
          <t>必須</t>
        </is>
      </c>
      <c r="D13" s="15" t="inlineStr">
        <is>
          <t>主な顧客像</t>
        </is>
      </c>
      <c r="E13" s="17" t="inlineStr"/>
      <c r="F13" s="15" t="inlineStr">
        <is>
          <t>例：中堅・中小製造業、従業員100〜3,000名、工場/生産管理部門/購買部門</t>
        </is>
      </c>
      <c r="G13" s="18" t="inlineStr">
        <is>
          <t>中堅・中小の製造業。生産管理、購買、在庫、現場、販売管理などの部門が主な利用者。</t>
        </is>
      </c>
      <c r="H13" s="15" t="inlineStr">
        <is>
          <t>Text（長い回答）</t>
        </is>
      </c>
      <c r="I13" s="15" t="inlineStr"/>
      <c r="J13" s="15" t="inlineStr">
        <is>
          <t>MainCustomers</t>
        </is>
      </c>
      <c r="K13" s="15">
        <f>IF($B13="","",IF($C13="必須",IF(LEN(TRIM($E13))&gt;0,"OK","未入力"),IF(LEN(TRIM($E13))&gt;0,"入力済","任意")))</f>
        <v/>
      </c>
    </row>
    <row r="14" ht="34" customHeight="1">
      <c r="A14" s="15" t="n">
        <v>1</v>
      </c>
      <c r="B14" s="15" t="inlineStr">
        <is>
          <t>F105</t>
        </is>
      </c>
      <c r="C14" s="19" t="inlineStr">
        <is>
          <t>任意</t>
        </is>
      </c>
      <c r="D14" s="15" t="inlineStr">
        <is>
          <t>対象業種・業態</t>
        </is>
      </c>
      <c r="E14" s="17" t="inlineStr"/>
      <c r="F14" s="15" t="inlineStr">
        <is>
          <t>複数選択可。その他の場合は自由記述を併用してください。</t>
        </is>
      </c>
      <c r="G14" s="18" t="inlineStr">
        <is>
          <t>製造業;生産管理;販売管理;サプライチェーン;調達・購買</t>
        </is>
      </c>
      <c r="H14" s="15" t="inlineStr">
        <is>
          <t>Choice（複数選択）</t>
        </is>
      </c>
      <c r="I14" s="15" t="inlineStr">
        <is>
          <t>製造業;流通/小売;金融;医療/ヘルスケア;公共;建設;バックオフィス;物流/SCM;教育;不動産;その他</t>
        </is>
      </c>
      <c r="J14" s="15" t="inlineStr">
        <is>
          <t>IndustrySegments</t>
        </is>
      </c>
      <c r="K14" s="15">
        <f>IF($B14="","",IF($C14="必須",IF(LEN(TRIM($E14))&gt;0,"OK","未入力"),IF(LEN(TRIM($E14))&gt;0,"入力済","任意")))</f>
        <v/>
      </c>
    </row>
    <row r="15" ht="66" customHeight="1">
      <c r="A15" s="15" t="n">
        <v>1</v>
      </c>
      <c r="B15" s="15" t="inlineStr">
        <is>
          <t>F106</t>
        </is>
      </c>
      <c r="C15" s="19" t="inlineStr">
        <is>
          <t>任意</t>
        </is>
      </c>
      <c r="D15" s="15" t="inlineStr">
        <is>
          <t>自社の強み・保有IP</t>
        </is>
      </c>
      <c r="E15" s="17" t="inlineStr"/>
      <c r="F15" s="15" t="inlineStr">
        <is>
          <t>例：業界特化の業務ロジック、マスタ管理、導入ノウハウ、既存顧客データ、テンプレート</t>
        </is>
      </c>
      <c r="G15" s="18" t="inlineStr">
        <is>
          <t>生産・販売統合型の業務ロジック、製造業向けマスタ/実績データ、導入実績、周辺DXソリューションとの接続可能性。</t>
        </is>
      </c>
      <c r="H15" s="15" t="inlineStr">
        <is>
          <t>Text（長い回答）</t>
        </is>
      </c>
      <c r="I15" s="15" t="inlineStr"/>
      <c r="J15" s="15" t="inlineStr">
        <is>
          <t>BusinessStrengthIP</t>
        </is>
      </c>
      <c r="K15" s="15">
        <f>IF($B15="","",IF($C15="必須",IF(LEN(TRIM($E15))&gt;0,"OK","未入力"),IF(LEN(TRIM($E15))&gt;0,"入力済","任意")))</f>
        <v/>
      </c>
    </row>
    <row r="16" ht="34" customHeight="1">
      <c r="A16" s="15" t="n">
        <v>1</v>
      </c>
      <c r="B16" s="15" t="inlineStr">
        <is>
          <t>F107</t>
        </is>
      </c>
      <c r="C16" s="16" t="inlineStr">
        <is>
          <t>必須</t>
        </is>
      </c>
      <c r="D16" s="15" t="inlineStr">
        <is>
          <t>入力者氏名</t>
        </is>
      </c>
      <c r="E16" s="17" t="inlineStr"/>
      <c r="F16" s="15" t="inlineStr">
        <is>
          <t>例：山田 太郎</t>
        </is>
      </c>
      <c r="G16" s="18" t="inlineStr"/>
      <c r="H16" s="15" t="inlineStr">
        <is>
          <t>Text（短い回答）</t>
        </is>
      </c>
      <c r="I16" s="15" t="inlineStr"/>
      <c r="J16" s="15" t="inlineStr">
        <is>
          <t>RespondentName</t>
        </is>
      </c>
      <c r="K16" s="15">
        <f>IF($B16="","",IF($C16="必須",IF(LEN(TRIM($E16))&gt;0,"OK","未入力"),IF(LEN(TRIM($E16))&gt;0,"入力済","任意")))</f>
        <v/>
      </c>
    </row>
    <row r="17" ht="34" customHeight="1">
      <c r="A17" s="15" t="n">
        <v>1</v>
      </c>
      <c r="B17" s="15" t="inlineStr">
        <is>
          <t>F108</t>
        </is>
      </c>
      <c r="C17" s="16" t="inlineStr">
        <is>
          <t>必須</t>
        </is>
      </c>
      <c r="D17" s="15" t="inlineStr">
        <is>
          <t>入力者メール</t>
        </is>
      </c>
      <c r="E17" s="17" t="inlineStr"/>
      <c r="F17" s="15" t="inlineStr">
        <is>
          <t>例：name@example.co.jp</t>
        </is>
      </c>
      <c r="G17" s="18" t="inlineStr"/>
      <c r="H17" s="15" t="inlineStr">
        <is>
          <t>Text（短い回答）</t>
        </is>
      </c>
      <c r="I17" s="15" t="inlineStr"/>
      <c r="J17" s="15" t="inlineStr">
        <is>
          <t>RespondentEmail</t>
        </is>
      </c>
      <c r="K17" s="15">
        <f>IF($B17="","",IF($C17="必須",IF(LEN(TRIM($E17))&gt;0,"OK","未入力"),IF(LEN(TRIM($E17))&gt;0,"入力済","任意")))</f>
        <v/>
      </c>
    </row>
    <row r="18" ht="34" customHeight="1">
      <c r="A18" s="15" t="n">
        <v>1</v>
      </c>
      <c r="B18" s="15" t="inlineStr">
        <is>
          <t>F109</t>
        </is>
      </c>
      <c r="C18" s="19" t="inlineStr">
        <is>
          <t>任意</t>
        </is>
      </c>
      <c r="D18" s="15" t="inlineStr">
        <is>
          <t>入力者所属/役職</t>
        </is>
      </c>
      <c r="E18" s="17" t="inlineStr"/>
      <c r="F18" s="15" t="inlineStr">
        <is>
          <t>例：CTO、プロダクト責任者、開発責任者、営業責任者</t>
        </is>
      </c>
      <c r="G18" s="18" t="inlineStr"/>
      <c r="H18" s="15" t="inlineStr">
        <is>
          <t>Text（短い回答）</t>
        </is>
      </c>
      <c r="I18" s="15" t="inlineStr"/>
      <c r="J18" s="15" t="inlineStr">
        <is>
          <t>RespondentRole</t>
        </is>
      </c>
      <c r="K18" s="15">
        <f>IF($B18="","",IF($C18="必須",IF(LEN(TRIM($E18))&gt;0,"OK","未入力"),IF(LEN(TRIM($E18))&gt;0,"入力済","任意")))</f>
        <v/>
      </c>
    </row>
    <row r="19" ht="24" customHeight="1">
      <c r="A19" s="14" t="inlineStr">
        <is>
          <t>2. Assessment対象範囲</t>
        </is>
      </c>
    </row>
    <row r="20" ht="34" customHeight="1">
      <c r="A20" s="15" t="n">
        <v>2</v>
      </c>
      <c r="B20" s="15" t="inlineStr">
        <is>
          <t>F201</t>
        </is>
      </c>
      <c r="C20" s="16" t="inlineStr">
        <is>
          <t>必須</t>
        </is>
      </c>
      <c r="D20" s="15" t="inlineStr">
        <is>
          <t>今回のAssessment対象範囲</t>
        </is>
      </c>
      <c r="E20" s="17" t="inlineStr"/>
      <c r="F20" s="15" t="inlineStr">
        <is>
          <t>既存サービスに加え、本番環境構築中・開発中・構想中の新サービスも対象にできます。</t>
        </is>
      </c>
      <c r="G20" s="18" t="inlineStr"/>
      <c r="H20" s="15" t="inlineStr">
        <is>
          <t>Choice（複数選択）</t>
        </is>
      </c>
      <c r="I20" s="15" t="inlineStr">
        <is>
          <t>既存SaaS/クラウドサービス;既存パッケージ;新規サービス/新規SaaS;本番環境構築中;開発中;構想中;複数プロジェクト横断</t>
        </is>
      </c>
      <c r="J20" s="15" t="inlineStr">
        <is>
          <t>AssessmentScope</t>
        </is>
      </c>
      <c r="K20" s="15">
        <f>IF($B20="","",IF($C20="必須",IF(LEN(TRIM($E20))&gt;0,"OK","未入力"),IF(LEN(TRIM($E20))&gt;0,"入力済","任意")))</f>
        <v/>
      </c>
    </row>
    <row r="21" ht="66" customHeight="1">
      <c r="A21" s="15" t="n">
        <v>2</v>
      </c>
      <c r="B21" s="15" t="inlineStr">
        <is>
          <t>F202</t>
        </is>
      </c>
      <c r="C21" s="19" t="inlineStr">
        <is>
          <t>任意</t>
        </is>
      </c>
      <c r="D21" s="15" t="inlineStr">
        <is>
          <t>対象プロジェクト数</t>
        </is>
      </c>
      <c r="E21" s="17" t="inlineStr"/>
      <c r="F21" s="15" t="inlineStr">
        <is>
          <t>Microsoft Formsでは最大3件分の入力欄を用意しています。3件超の場合は補足欄に記入してください。</t>
        </is>
      </c>
      <c r="G21" s="18" t="inlineStr"/>
      <c r="H21" s="15" t="inlineStr">
        <is>
          <t>Choice（単一選択）</t>
        </is>
      </c>
      <c r="I21" s="15" t="inlineStr">
        <is>
          <t>1件;2件;3件以上;未定</t>
        </is>
      </c>
      <c r="J21" s="15" t="inlineStr">
        <is>
          <t>ProjectCount</t>
        </is>
      </c>
      <c r="K21" s="15">
        <f>IF($B21="","",IF($C21="必須",IF(LEN(TRIM($E21))&gt;0,"OK","未入力"),IF(LEN(TRIM($E21))&gt;0,"入力済","任意")))</f>
        <v/>
      </c>
    </row>
    <row r="22" ht="34" customHeight="1">
      <c r="A22" s="15" t="n">
        <v>2</v>
      </c>
      <c r="B22" s="15" t="inlineStr">
        <is>
          <t>F211</t>
        </is>
      </c>
      <c r="C22" s="16" t="inlineStr">
        <is>
          <t>必須</t>
        </is>
      </c>
      <c r="D22" s="15" t="inlineStr">
        <is>
          <t>プロジェクト1：プロジェクト/製品名</t>
        </is>
      </c>
      <c r="E22" s="17" t="inlineStr"/>
      <c r="F22" s="15" t="inlineStr">
        <is>
          <t>例：既存SaaS、構築中サービス、開発中プロダクト</t>
        </is>
      </c>
      <c r="G22" s="18" t="inlineStr">
        <is>
          <t>Factory-ONE 電脳工場 データ活用</t>
        </is>
      </c>
      <c r="H22" s="15" t="inlineStr">
        <is>
          <t>Text（短い回答）</t>
        </is>
      </c>
      <c r="I22" s="15" t="inlineStr"/>
      <c r="J22" s="15" t="inlineStr">
        <is>
          <t>Project1Name</t>
        </is>
      </c>
      <c r="K22" s="15">
        <f>IF($B22="","",IF($C22="必須",IF(LEN(TRIM($E22))&gt;0,"OK","未入力"),IF(LEN(TRIM($E22))&gt;0,"入力済","任意")))</f>
        <v/>
      </c>
    </row>
    <row r="23" ht="34" customHeight="1">
      <c r="A23" s="15" t="n">
        <v>2</v>
      </c>
      <c r="B23" s="15" t="inlineStr">
        <is>
          <t>F212</t>
        </is>
      </c>
      <c r="C23" s="16" t="inlineStr">
        <is>
          <t>必須</t>
        </is>
      </c>
      <c r="D23" s="15" t="inlineStr">
        <is>
          <t>プロジェクト1：段階</t>
        </is>
      </c>
      <c r="E23" s="17" t="inlineStr"/>
      <c r="F23" s="15" t="inlineStr">
        <is>
          <t>現在の開発/運用段階を選択してください。</t>
        </is>
      </c>
      <c r="G23" s="18" t="inlineStr">
        <is>
          <t>本番運用中</t>
        </is>
      </c>
      <c r="H23" s="15" t="inlineStr">
        <is>
          <t>Choice（単一選択）</t>
        </is>
      </c>
      <c r="I23" s="15" t="inlineStr">
        <is>
          <t>本番運用中;本番環境構築中;開発中;構想中;PoC中;未定</t>
        </is>
      </c>
      <c r="J23" s="15" t="inlineStr">
        <is>
          <t>Project1Stage</t>
        </is>
      </c>
      <c r="K23" s="15">
        <f>IF($B23="","",IF($C23="必須",IF(LEN(TRIM($E23))&gt;0,"OK","未入力"),IF(LEN(TRIM($E23))&gt;0,"入力済","任意")))</f>
        <v/>
      </c>
    </row>
    <row r="24" ht="34" customHeight="1">
      <c r="A24" s="15" t="n">
        <v>2</v>
      </c>
      <c r="B24" s="15" t="inlineStr">
        <is>
          <t>F213</t>
        </is>
      </c>
      <c r="C24" s="16" t="inlineStr">
        <is>
          <t>必須</t>
        </is>
      </c>
      <c r="D24" s="15" t="inlineStr">
        <is>
          <t>プロジェクト1：優先度</t>
        </is>
      </c>
      <c r="E24" s="17" t="inlineStr"/>
      <c r="F24" s="15" t="inlineStr">
        <is>
          <t>現時点の優先度で構いません。</t>
        </is>
      </c>
      <c r="G24" s="18" t="inlineStr">
        <is>
          <t>高</t>
        </is>
      </c>
      <c r="H24" s="15" t="inlineStr">
        <is>
          <t>Choice（単一選択）</t>
        </is>
      </c>
      <c r="I24" s="15" t="inlineStr">
        <is>
          <t>高;中;低;未定</t>
        </is>
      </c>
      <c r="J24" s="15" t="inlineStr">
        <is>
          <t>Project1Priority</t>
        </is>
      </c>
      <c r="K24" s="15">
        <f>IF($B24="","",IF($C24="必須",IF(LEN(TRIM($E24))&gt;0,"OK","未入力"),IF(LEN(TRIM($E24))&gt;0,"入力済","任意")))</f>
        <v/>
      </c>
    </row>
    <row r="25" ht="66" customHeight="1">
      <c r="A25" s="15" t="n">
        <v>2</v>
      </c>
      <c r="B25" s="15" t="inlineStr">
        <is>
          <t>F214</t>
        </is>
      </c>
      <c r="C25" s="16" t="inlineStr">
        <is>
          <t>必須</t>
        </is>
      </c>
      <c r="D25" s="15" t="inlineStr">
        <is>
          <t>プロジェクト1：AI活用の狙い・確認したいこと</t>
        </is>
      </c>
      <c r="E25" s="17" t="inlineStr"/>
      <c r="F25" s="15" t="inlineStr">
        <is>
          <t>例：データ活用、AI機能を初期リリースに含めるか、運用データ蓄積後に段階導入するか</t>
        </is>
      </c>
      <c r="G25" s="18" t="inlineStr">
        <is>
          <t>既存データを活用し、需給・在庫、生産計画、原価・調達のAIユースケースを検討する。</t>
        </is>
      </c>
      <c r="H25" s="15" t="inlineStr">
        <is>
          <t>Text（長い回答）</t>
        </is>
      </c>
      <c r="I25" s="15" t="inlineStr"/>
      <c r="J25" s="15" t="inlineStr">
        <is>
          <t>Project1AIIntent</t>
        </is>
      </c>
      <c r="K25" s="15">
        <f>IF($B25="","",IF($C25="必須",IF(LEN(TRIM($E25))&gt;0,"OK","未入力"),IF(LEN(TRIM($E25))&gt;0,"入力済","任意")))</f>
        <v/>
      </c>
    </row>
    <row r="26" ht="34" customHeight="1">
      <c r="A26" s="15" t="n">
        <v>2</v>
      </c>
      <c r="B26" s="15" t="inlineStr">
        <is>
          <t>F221</t>
        </is>
      </c>
      <c r="C26" s="19" t="inlineStr">
        <is>
          <t>任意</t>
        </is>
      </c>
      <c r="D26" s="15" t="inlineStr">
        <is>
          <t>プロジェクト2：プロジェクト/製品名</t>
        </is>
      </c>
      <c r="E26" s="17" t="inlineStr"/>
      <c r="F26" s="15" t="inlineStr">
        <is>
          <t>例：既存SaaS、構築中サービス、開発中プロダクト</t>
        </is>
      </c>
      <c r="G26" s="18" t="inlineStr">
        <is>
          <t>こうばWith</t>
        </is>
      </c>
      <c r="H26" s="15" t="inlineStr">
        <is>
          <t>Text（短い回答）</t>
        </is>
      </c>
      <c r="I26" s="15" t="inlineStr"/>
      <c r="J26" s="15" t="inlineStr">
        <is>
          <t>Project2Name</t>
        </is>
      </c>
      <c r="K26" s="15">
        <f>IF($B26="","",IF($C26="必須",IF(LEN(TRIM($E26))&gt;0,"OK","未入力"),IF(LEN(TRIM($E26))&gt;0,"入力済","任意")))</f>
        <v/>
      </c>
    </row>
    <row r="27" ht="34" customHeight="1">
      <c r="A27" s="15" t="n">
        <v>2</v>
      </c>
      <c r="B27" s="15" t="inlineStr">
        <is>
          <t>F222</t>
        </is>
      </c>
      <c r="C27" s="19" t="inlineStr">
        <is>
          <t>任意</t>
        </is>
      </c>
      <c r="D27" s="15" t="inlineStr">
        <is>
          <t>プロジェクト2：段階</t>
        </is>
      </c>
      <c r="E27" s="17" t="inlineStr"/>
      <c r="F27" s="15" t="inlineStr">
        <is>
          <t>現在の開発/運用段階を選択してください。</t>
        </is>
      </c>
      <c r="G27" s="18" t="inlineStr">
        <is>
          <t>本番環境構築中</t>
        </is>
      </c>
      <c r="H27" s="15" t="inlineStr">
        <is>
          <t>Choice（単一選択）</t>
        </is>
      </c>
      <c r="I27" s="15" t="inlineStr">
        <is>
          <t>本番運用中;本番環境構築中;開発中;構想中;PoC中;未定</t>
        </is>
      </c>
      <c r="J27" s="15" t="inlineStr">
        <is>
          <t>Project2Stage</t>
        </is>
      </c>
      <c r="K27" s="15">
        <f>IF($B27="","",IF($C27="必須",IF(LEN(TRIM($E27))&gt;0,"OK","未入力"),IF(LEN(TRIM($E27))&gt;0,"入力済","任意")))</f>
        <v/>
      </c>
    </row>
    <row r="28" ht="34" customHeight="1">
      <c r="A28" s="15" t="n">
        <v>2</v>
      </c>
      <c r="B28" s="15" t="inlineStr">
        <is>
          <t>F223</t>
        </is>
      </c>
      <c r="C28" s="19" t="inlineStr">
        <is>
          <t>任意</t>
        </is>
      </c>
      <c r="D28" s="15" t="inlineStr">
        <is>
          <t>プロジェクト2：優先度</t>
        </is>
      </c>
      <c r="E28" s="17" t="inlineStr"/>
      <c r="F28" s="15" t="inlineStr">
        <is>
          <t>現時点の優先度で構いません。</t>
        </is>
      </c>
      <c r="G28" s="18" t="inlineStr">
        <is>
          <t>中</t>
        </is>
      </c>
      <c r="H28" s="15" t="inlineStr">
        <is>
          <t>Choice（単一選択）</t>
        </is>
      </c>
      <c r="I28" s="15" t="inlineStr">
        <is>
          <t>高;中;低;未定</t>
        </is>
      </c>
      <c r="J28" s="15" t="inlineStr">
        <is>
          <t>Project2Priority</t>
        </is>
      </c>
      <c r="K28" s="15">
        <f>IF($B28="","",IF($C28="必須",IF(LEN(TRIM($E28))&gt;0,"OK","未入力"),IF(LEN(TRIM($E28))&gt;0,"入力済","任意")))</f>
        <v/>
      </c>
    </row>
    <row r="29" ht="66" customHeight="1">
      <c r="A29" s="15" t="n">
        <v>2</v>
      </c>
      <c r="B29" s="15" t="inlineStr">
        <is>
          <t>F224</t>
        </is>
      </c>
      <c r="C29" s="19" t="inlineStr">
        <is>
          <t>任意</t>
        </is>
      </c>
      <c r="D29" s="15" t="inlineStr">
        <is>
          <t>プロジェクト2：AI活用の狙い・確認したいこと</t>
        </is>
      </c>
      <c r="E29" s="17" t="inlineStr"/>
      <c r="F29" s="15" t="inlineStr">
        <is>
          <t>例：データ活用、AI機能を初期リリースに含めるか、運用データ蓄積後に段階導入するか</t>
        </is>
      </c>
      <c r="G29" s="18" t="inlineStr">
        <is>
          <t>本番データの種類、保持場所、テナント構成、運用監視、AI機能の段階導入可否を確認する。</t>
        </is>
      </c>
      <c r="H29" s="15" t="inlineStr">
        <is>
          <t>Text（長い回答）</t>
        </is>
      </c>
      <c r="I29" s="15" t="inlineStr"/>
      <c r="J29" s="15" t="inlineStr">
        <is>
          <t>Project2AIIntent</t>
        </is>
      </c>
      <c r="K29" s="15">
        <f>IF($B29="","",IF($C29="必須",IF(LEN(TRIM($E29))&gt;0,"OK","未入力"),IF(LEN(TRIM($E29))&gt;0,"入力済","任意")))</f>
        <v/>
      </c>
    </row>
    <row r="30" ht="34" customHeight="1">
      <c r="A30" s="15" t="n">
        <v>2</v>
      </c>
      <c r="B30" s="15" t="inlineStr">
        <is>
          <t>F231</t>
        </is>
      </c>
      <c r="C30" s="19" t="inlineStr">
        <is>
          <t>任意</t>
        </is>
      </c>
      <c r="D30" s="15" t="inlineStr">
        <is>
          <t>プロジェクト3：プロジェクト/製品名</t>
        </is>
      </c>
      <c r="E30" s="17" t="inlineStr"/>
      <c r="F30" s="15" t="inlineStr">
        <is>
          <t>例：既存SaaS、構築中サービス、開発中プロダクト</t>
        </is>
      </c>
      <c r="G30" s="18" t="inlineStr">
        <is>
          <t>Endeval（旧Endevor）</t>
        </is>
      </c>
      <c r="H30" s="15" t="inlineStr">
        <is>
          <t>Text（短い回答）</t>
        </is>
      </c>
      <c r="I30" s="15" t="inlineStr"/>
      <c r="J30" s="15" t="inlineStr">
        <is>
          <t>Project3Name</t>
        </is>
      </c>
      <c r="K30" s="15">
        <f>IF($B30="","",IF($C30="必須",IF(LEN(TRIM($E30))&gt;0,"OK","未入力"),IF(LEN(TRIM($E30))&gt;0,"入力済","任意")))</f>
        <v/>
      </c>
    </row>
    <row r="31" ht="34" customHeight="1">
      <c r="A31" s="15" t="n">
        <v>2</v>
      </c>
      <c r="B31" s="15" t="inlineStr">
        <is>
          <t>F232</t>
        </is>
      </c>
      <c r="C31" s="19" t="inlineStr">
        <is>
          <t>任意</t>
        </is>
      </c>
      <c r="D31" s="15" t="inlineStr">
        <is>
          <t>プロジェクト3：段階</t>
        </is>
      </c>
      <c r="E31" s="17" t="inlineStr"/>
      <c r="F31" s="15" t="inlineStr">
        <is>
          <t>現在の開発/運用段階を選択してください。</t>
        </is>
      </c>
      <c r="G31" s="18" t="inlineStr">
        <is>
          <t>開発中</t>
        </is>
      </c>
      <c r="H31" s="15" t="inlineStr">
        <is>
          <t>Choice（単一選択）</t>
        </is>
      </c>
      <c r="I31" s="15" t="inlineStr">
        <is>
          <t>本番運用中;本番環境構築中;開発中;構想中;PoC中;未定</t>
        </is>
      </c>
      <c r="J31" s="15" t="inlineStr">
        <is>
          <t>Project3Stage</t>
        </is>
      </c>
      <c r="K31" s="15">
        <f>IF($B31="","",IF($C31="必須",IF(LEN(TRIM($E31))&gt;0,"OK","未入力"),IF(LEN(TRIM($E31))&gt;0,"入力済","任意")))</f>
        <v/>
      </c>
    </row>
    <row r="32" ht="34" customHeight="1">
      <c r="A32" s="15" t="n">
        <v>2</v>
      </c>
      <c r="B32" s="15" t="inlineStr">
        <is>
          <t>F233</t>
        </is>
      </c>
      <c r="C32" s="19" t="inlineStr">
        <is>
          <t>任意</t>
        </is>
      </c>
      <c r="D32" s="15" t="inlineStr">
        <is>
          <t>プロジェクト3：優先度</t>
        </is>
      </c>
      <c r="E32" s="17" t="inlineStr"/>
      <c r="F32" s="15" t="inlineStr">
        <is>
          <t>現時点の優先度で構いません。</t>
        </is>
      </c>
      <c r="G32" s="18" t="inlineStr">
        <is>
          <t>中</t>
        </is>
      </c>
      <c r="H32" s="15" t="inlineStr">
        <is>
          <t>Choice（単一選択）</t>
        </is>
      </c>
      <c r="I32" s="15" t="inlineStr">
        <is>
          <t>高;中;低;未定</t>
        </is>
      </c>
      <c r="J32" s="15" t="inlineStr">
        <is>
          <t>Project3Priority</t>
        </is>
      </c>
      <c r="K32" s="15">
        <f>IF($B32="","",IF($C32="必須",IF(LEN(TRIM($E32))&gt;0,"OK","未入力"),IF(LEN(TRIM($E32))&gt;0,"入力済","任意")))</f>
        <v/>
      </c>
    </row>
    <row r="33" ht="66" customHeight="1">
      <c r="A33" s="15" t="n">
        <v>2</v>
      </c>
      <c r="B33" s="15" t="inlineStr">
        <is>
          <t>F234</t>
        </is>
      </c>
      <c r="C33" s="19" t="inlineStr">
        <is>
          <t>任意</t>
        </is>
      </c>
      <c r="D33" s="15" t="inlineStr">
        <is>
          <t>プロジェクト3：AI活用の狙い・確認したいこと</t>
        </is>
      </c>
      <c r="E33" s="17" t="inlineStr"/>
      <c r="F33" s="15" t="inlineStr">
        <is>
          <t>例：データ活用、AI機能を初期リリースに含めるか、運用データ蓄積後に段階導入するか</t>
        </is>
      </c>
      <c r="G33" s="18" t="inlineStr">
        <is>
          <t>構成検討中のため、事業目的、対象業務、アーキテクチャ、AI活用の狙いを整理する。</t>
        </is>
      </c>
      <c r="H33" s="15" t="inlineStr">
        <is>
          <t>Text（長い回答）</t>
        </is>
      </c>
      <c r="I33" s="15" t="inlineStr"/>
      <c r="J33" s="15" t="inlineStr">
        <is>
          <t>Project3AIIntent</t>
        </is>
      </c>
      <c r="K33" s="15">
        <f>IF($B33="","",IF($C33="必須",IF(LEN(TRIM($E33))&gt;0,"OK","未入力"),IF(LEN(TRIM($E33))&gt;0,"入力済","任意")))</f>
        <v/>
      </c>
    </row>
    <row r="34" ht="24" customHeight="1">
      <c r="A34" s="14" t="inlineStr">
        <is>
          <t>3. 製品・サービス情報 / ISVアセット・IP</t>
        </is>
      </c>
    </row>
    <row r="35" ht="34" customHeight="1">
      <c r="A35" s="15" t="n">
        <v>3</v>
      </c>
      <c r="B35" s="15" t="inlineStr">
        <is>
          <t>F301</t>
        </is>
      </c>
      <c r="C35" s="16" t="inlineStr">
        <is>
          <t>必須</t>
        </is>
      </c>
      <c r="D35" s="15" t="inlineStr">
        <is>
          <t>主対象製品/サービス名</t>
        </is>
      </c>
      <c r="E35" s="17" t="inlineStr"/>
      <c r="F35" s="15" t="inlineStr">
        <is>
          <t>例：生産管理SaaS、EDIサービス、グループウェア、周辺ソリューション</t>
        </is>
      </c>
      <c r="G35" s="18" t="inlineStr">
        <is>
          <t>Factory-ONE 電脳工場</t>
        </is>
      </c>
      <c r="H35" s="15" t="inlineStr">
        <is>
          <t>Text（短い回答）</t>
        </is>
      </c>
      <c r="I35" s="15" t="inlineStr"/>
      <c r="J35" s="15" t="inlineStr">
        <is>
          <t>PrimaryProductName</t>
        </is>
      </c>
      <c r="K35" s="15">
        <f>IF($B35="","",IF($C35="必須",IF(LEN(TRIM($E35))&gt;0,"OK","未入力"),IF(LEN(TRIM($E35))&gt;0,"入力済","任意")))</f>
        <v/>
      </c>
    </row>
    <row r="36" ht="34" customHeight="1">
      <c r="A36" s="15" t="n">
        <v>3</v>
      </c>
      <c r="B36" s="15" t="inlineStr">
        <is>
          <t>F302</t>
        </is>
      </c>
      <c r="C36" s="19" t="inlineStr">
        <is>
          <t>任意</t>
        </is>
      </c>
      <c r="D36" s="15" t="inlineStr">
        <is>
          <t>提供形態</t>
        </is>
      </c>
      <c r="E36" s="17" t="inlineStr"/>
      <c r="F36" s="15" t="inlineStr">
        <is>
          <t>複数選択可。</t>
        </is>
      </c>
      <c r="G36" s="18" t="inlineStr">
        <is>
          <t>パッケージ;クラウドサービス</t>
        </is>
      </c>
      <c r="H36" s="15" t="inlineStr">
        <is>
          <t>Choice（複数選択）</t>
        </is>
      </c>
      <c r="I36" s="15" t="inlineStr">
        <is>
          <t>SaaS;パッケージ;オンプレミス;クラウドサービス;プラットフォーム;導入支援/コンサル;保守/運用支援;その他</t>
        </is>
      </c>
      <c r="J36" s="15" t="inlineStr">
        <is>
          <t>DeliveryModel</t>
        </is>
      </c>
      <c r="K36" s="15">
        <f>IF($B36="","",IF($C36="必須",IF(LEN(TRIM($E36))&gt;0,"OK","未入力"),IF(LEN(TRIM($E36))&gt;0,"入力済","任意")))</f>
        <v/>
      </c>
    </row>
    <row r="37" ht="66" customHeight="1">
      <c r="A37" s="15" t="n">
        <v>3</v>
      </c>
      <c r="B37" s="15" t="inlineStr">
        <is>
          <t>F303</t>
        </is>
      </c>
      <c r="C37" s="19" t="inlineStr">
        <is>
          <t>任意</t>
        </is>
      </c>
      <c r="D37" s="15" t="inlineStr">
        <is>
          <t>位置づけ・提供価値</t>
        </is>
      </c>
      <c r="E37" s="17" t="inlineStr"/>
      <c r="F37" s="15" t="inlineStr">
        <is>
          <t>例：中堅・中小製造業向けの生産・販売統合型システム</t>
        </is>
      </c>
      <c r="G37" s="18" t="inlineStr">
        <is>
          <t>中堅・中小製造業向けの生産・販売統合型の生産管理システム。</t>
        </is>
      </c>
      <c r="H37" s="15" t="inlineStr">
        <is>
          <t>Text（長い回答）</t>
        </is>
      </c>
      <c r="I37" s="15" t="inlineStr"/>
      <c r="J37" s="15" t="inlineStr">
        <is>
          <t>ProductPositioning</t>
        </is>
      </c>
      <c r="K37" s="15">
        <f>IF($B37="","",IF($C37="必須",IF(LEN(TRIM($E37))&gt;0,"OK","未入力"),IF(LEN(TRIM($E37))&gt;0,"入力済","任意")))</f>
        <v/>
      </c>
    </row>
    <row r="38" ht="66" customHeight="1">
      <c r="A38" s="15" t="n">
        <v>3</v>
      </c>
      <c r="B38" s="15" t="inlineStr">
        <is>
          <t>F304</t>
        </is>
      </c>
      <c r="C38" s="16" t="inlineStr">
        <is>
          <t>必須</t>
        </is>
      </c>
      <c r="D38" s="15" t="inlineStr">
        <is>
          <t>代表的な機能・業務範囲</t>
        </is>
      </c>
      <c r="E38" s="17" t="inlineStr"/>
      <c r="F38" s="15" t="inlineStr">
        <is>
          <t>例：受注、出荷、生産計画、発注、受入、在庫、進捗、原価、請求</t>
        </is>
      </c>
      <c r="G38" s="18" t="inlineStr">
        <is>
          <t>生産計画、受注・出荷、手配計画、発注、受入、在庫、負荷、進捗、原価、請求、売掛、入金、仕入、買掛、支払。</t>
        </is>
      </c>
      <c r="H38" s="15" t="inlineStr">
        <is>
          <t>Text（長い回答）</t>
        </is>
      </c>
      <c r="I38" s="15" t="inlineStr"/>
      <c r="J38" s="15" t="inlineStr">
        <is>
          <t>ProductFunctions</t>
        </is>
      </c>
      <c r="K38" s="15">
        <f>IF($B38="","",IF($C38="必須",IF(LEN(TRIM($E38))&gt;0,"OK","未入力"),IF(LEN(TRIM($E38))&gt;0,"入力済","任意")))</f>
        <v/>
      </c>
    </row>
    <row r="39" ht="66" customHeight="1">
      <c r="A39" s="15" t="n">
        <v>3</v>
      </c>
      <c r="B39" s="15" t="inlineStr">
        <is>
          <t>F305</t>
        </is>
      </c>
      <c r="C39" s="16" t="inlineStr">
        <is>
          <t>必須</t>
        </is>
      </c>
      <c r="D39" s="15" t="inlineStr">
        <is>
          <t>関連データ領域</t>
        </is>
      </c>
      <c r="E39" s="17" t="inlineStr"/>
      <c r="F39" s="15" t="inlineStr">
        <is>
          <t>例：マスタ、実績、履歴、文書、外部データ、取引先データ</t>
        </is>
      </c>
      <c r="G39" s="18" t="inlineStr">
        <is>
          <t>品目、BOM、取引先、工程などのマスタ、受注/生産/在庫/購買/原価などの実績、納期変更履歴、EDI受注取込。</t>
        </is>
      </c>
      <c r="H39" s="15" t="inlineStr">
        <is>
          <t>Text（長い回答）</t>
        </is>
      </c>
      <c r="I39" s="15" t="inlineStr"/>
      <c r="J39" s="15" t="inlineStr">
        <is>
          <t>DataDomains</t>
        </is>
      </c>
      <c r="K39" s="15">
        <f>IF($B39="","",IF($C39="必須",IF(LEN(TRIM($E39))&gt;0,"OK","未入力"),IF(LEN(TRIM($E39))&gt;0,"入力済","任意")))</f>
        <v/>
      </c>
    </row>
    <row r="40" ht="66" customHeight="1">
      <c r="A40" s="15" t="n">
        <v>3</v>
      </c>
      <c r="B40" s="15" t="inlineStr">
        <is>
          <t>F306</t>
        </is>
      </c>
      <c r="C40" s="19" t="inlineStr">
        <is>
          <t>任意</t>
        </is>
      </c>
      <c r="D40" s="15" t="inlineStr">
        <is>
          <t>関連/拡張ソリューション</t>
        </is>
      </c>
      <c r="E40" s="17" t="inlineStr"/>
      <c r="F40" s="15" t="inlineStr">
        <is>
          <t>例：在庫診断、価格シミュレータ、現品照合、帳票、スケジューラ</t>
        </is>
      </c>
      <c r="G40" s="18" t="inlineStr">
        <is>
          <t>EX在庫診断/EX在庫シミュレータ、EX調達価格シミュレータ、EXQR現品照合。</t>
        </is>
      </c>
      <c r="H40" s="15" t="inlineStr">
        <is>
          <t>Text（長い回答）</t>
        </is>
      </c>
      <c r="I40" s="15" t="inlineStr"/>
      <c r="J40" s="15" t="inlineStr">
        <is>
          <t>RelatedSolutions</t>
        </is>
      </c>
      <c r="K40" s="15">
        <f>IF($B40="","",IF($C40="必須",IF(LEN(TRIM($E40))&gt;0,"OK","未入力"),IF(LEN(TRIM($E40))&gt;0,"入力済","任意")))</f>
        <v/>
      </c>
    </row>
    <row r="41" ht="66" customHeight="1">
      <c r="A41" s="15" t="n">
        <v>3</v>
      </c>
      <c r="B41" s="15" t="inlineStr">
        <is>
          <t>F307</t>
        </is>
      </c>
      <c r="C41" s="19" t="inlineStr">
        <is>
          <t>任意</t>
        </is>
      </c>
      <c r="D41" s="15" t="inlineStr">
        <is>
          <t>カスタマイズ/個社対応の状況</t>
        </is>
      </c>
      <c r="E41" s="17" t="inlineStr"/>
      <c r="F41" s="15" t="inlineStr">
        <is>
          <t>例：ソース公開、個社カスタマイズあり、共通機能化可能な範囲</t>
        </is>
      </c>
      <c r="G41" s="18" t="inlineStr">
        <is>
          <t>パッケージでありつつソース公開を行い、利用企業側でのカスタマイズも可能。共通AI機能と個社固有拡張の切り分けが必要。</t>
        </is>
      </c>
      <c r="H41" s="15" t="inlineStr">
        <is>
          <t>Text（長い回答）</t>
        </is>
      </c>
      <c r="I41" s="15" t="inlineStr"/>
      <c r="J41" s="15" t="inlineStr">
        <is>
          <t>CustomizationStatus</t>
        </is>
      </c>
      <c r="K41" s="15">
        <f>IF($B41="","",IF($C41="必須",IF(LEN(TRIM($E41))&gt;0,"OK","未入力"),IF(LEN(TRIM($E41))&gt;0,"入力済","任意")))</f>
        <v/>
      </c>
    </row>
    <row r="42" ht="66" customHeight="1">
      <c r="A42" s="15" t="n">
        <v>3</v>
      </c>
      <c r="B42" s="15" t="inlineStr">
        <is>
          <t>F308</t>
        </is>
      </c>
      <c r="C42" s="19" t="inlineStr">
        <is>
          <t>任意</t>
        </is>
      </c>
      <c r="D42" s="15" t="inlineStr">
        <is>
          <t>追加対象製品・サービスがあれば記入してください</t>
        </is>
      </c>
      <c r="E42" s="17" t="inlineStr"/>
      <c r="F42" s="15" t="inlineStr">
        <is>
          <t>複数製品を横断して評価したい場合に記入してください。</t>
        </is>
      </c>
      <c r="G42" s="18" t="inlineStr">
        <is>
          <t>EXtelligence EDIFAS：クラウド型EDI（調達・購買）サービス。見積、受発注、入出荷、API/CSV連携、電子帳簿保存法対応ストレージ保存。</t>
        </is>
      </c>
      <c r="H42" s="15" t="inlineStr">
        <is>
          <t>Text（長い回答）</t>
        </is>
      </c>
      <c r="I42" s="15" t="inlineStr"/>
      <c r="J42" s="15" t="inlineStr">
        <is>
          <t>AdditionalProducts</t>
        </is>
      </c>
      <c r="K42" s="15">
        <f>IF($B42="","",IF($C42="必須",IF(LEN(TRIM($E42))&gt;0,"OK","未入力"),IF(LEN(TRIM($E42))&gt;0,"入力済","任意")))</f>
        <v/>
      </c>
    </row>
    <row r="43" ht="24" customHeight="1">
      <c r="A43" s="14" t="inlineStr">
        <is>
          <t>4. 顧客・価格・競合</t>
        </is>
      </c>
    </row>
    <row r="44" ht="34" customHeight="1">
      <c r="A44" s="15" t="n">
        <v>4</v>
      </c>
      <c r="B44" s="15" t="inlineStr">
        <is>
          <t>F401</t>
        </is>
      </c>
      <c r="C44" s="19" t="inlineStr">
        <is>
          <t>任意</t>
        </is>
      </c>
      <c r="D44" s="15" t="inlineStr">
        <is>
          <t>ターゲット顧客規模</t>
        </is>
      </c>
      <c r="E44" s="17" t="inlineStr"/>
      <c r="F44" s="15" t="inlineStr">
        <is>
          <t>複数選択可。</t>
        </is>
      </c>
      <c r="G44" s="18" t="inlineStr">
        <is>
          <t>中堅企業;SMB</t>
        </is>
      </c>
      <c r="H44" s="15" t="inlineStr">
        <is>
          <t>Choice（複数選択）</t>
        </is>
      </c>
      <c r="I44" s="15" t="inlineStr">
        <is>
          <t>SMB;中堅企業;大企業;エンタープライズ;公共;海外;未定</t>
        </is>
      </c>
      <c r="J44" s="15" t="inlineStr">
        <is>
          <t>CustomerScale</t>
        </is>
      </c>
      <c r="K44" s="15">
        <f>IF($B44="","",IF($C44="必須",IF(LEN(TRIM($E44))&gt;0,"OK","未入力"),IF(LEN(TRIM($E44))&gt;0,"入力済","任意")))</f>
        <v/>
      </c>
    </row>
    <row r="45" ht="34" customHeight="1">
      <c r="A45" s="15" t="n">
        <v>4</v>
      </c>
      <c r="B45" s="15" t="inlineStr">
        <is>
          <t>F402</t>
        </is>
      </c>
      <c r="C45" s="19" t="inlineStr">
        <is>
          <t>任意</t>
        </is>
      </c>
      <c r="D45" s="15" t="inlineStr">
        <is>
          <t>価格形態</t>
        </is>
      </c>
      <c r="E45" s="17" t="inlineStr"/>
      <c r="F45" s="15" t="inlineStr">
        <is>
          <t>現行サービスの価格形態を選択してください。</t>
        </is>
      </c>
      <c r="G45" s="18" t="inlineStr">
        <is>
          <t>月額サブスクリプション;保守費;個別見積</t>
        </is>
      </c>
      <c r="H45" s="15" t="inlineStr">
        <is>
          <t>Choice（複数選択）</t>
        </is>
      </c>
      <c r="I45" s="15" t="inlineStr">
        <is>
          <t>月額サブスクリプション;年額サブスクリプション;ユーザー課金;テナント課金;API/利用量課金;初期費用;保守費;ライセンス買い切り;個別見積</t>
        </is>
      </c>
      <c r="J45" s="15" t="inlineStr">
        <is>
          <t>PricingModel</t>
        </is>
      </c>
      <c r="K45" s="15">
        <f>IF($B45="","",IF($C45="必須",IF(LEN(TRIM($E45))&gt;0,"OK","未入力"),IF(LEN(TRIM($E45))&gt;0,"入力済","任意")))</f>
        <v/>
      </c>
    </row>
    <row r="46" ht="34" customHeight="1">
      <c r="A46" s="15" t="n">
        <v>4</v>
      </c>
      <c r="B46" s="15" t="inlineStr">
        <is>
          <t>F403</t>
        </is>
      </c>
      <c r="C46" s="19" t="inlineStr">
        <is>
          <t>任意</t>
        </is>
      </c>
      <c r="D46" s="15" t="inlineStr">
        <is>
          <t>ライセンス形式</t>
        </is>
      </c>
      <c r="E46" s="17" t="inlineStr"/>
      <c r="F46" s="15" t="inlineStr">
        <is>
          <t>該当するライセンス形式を選択してください。</t>
        </is>
      </c>
      <c r="G46" s="18" t="inlineStr"/>
      <c r="H46" s="15" t="inlineStr">
        <is>
          <t>Choice（複数選択）</t>
        </is>
      </c>
      <c r="I46" s="15" t="inlineStr">
        <is>
          <t>Named User;Concurrent User;Site License;Tenant License;Device/拠点課金;API Call;Transaction;その他</t>
        </is>
      </c>
      <c r="J46" s="15" t="inlineStr">
        <is>
          <t>LicenseModel</t>
        </is>
      </c>
      <c r="K46" s="15">
        <f>IF($B46="","",IF($C46="必須",IF(LEN(TRIM($E46))&gt;0,"OK","未入力"),IF(LEN(TRIM($E46))&gt;0,"入力済","任意")))</f>
        <v/>
      </c>
    </row>
    <row r="47" ht="66" customHeight="1">
      <c r="A47" s="15" t="n">
        <v>4</v>
      </c>
      <c r="B47" s="15" t="inlineStr">
        <is>
          <t>F404</t>
        </is>
      </c>
      <c r="C47" s="19" t="inlineStr">
        <is>
          <t>任意</t>
        </is>
      </c>
      <c r="D47" s="15" t="inlineStr">
        <is>
          <t>現行収益モデル</t>
        </is>
      </c>
      <c r="E47" s="17" t="inlineStr"/>
      <c r="F47" s="15" t="inlineStr">
        <is>
          <t>例：月額利用料、導入支援、カスタマイズ、保守、オプション機能</t>
        </is>
      </c>
      <c r="G47" s="18" t="inlineStr">
        <is>
          <t>パッケージ/クラウド利用料、導入コンサルティング、カスタマイズ開発、稼働支援、保守。</t>
        </is>
      </c>
      <c r="H47" s="15" t="inlineStr">
        <is>
          <t>Text（長い回答）</t>
        </is>
      </c>
      <c r="I47" s="15" t="inlineStr"/>
      <c r="J47" s="15" t="inlineStr">
        <is>
          <t>CurrentRevenueModel</t>
        </is>
      </c>
      <c r="K47" s="15">
        <f>IF($B47="","",IF($C47="必須",IF(LEN(TRIM($E47))&gt;0,"OK","未入力"),IF(LEN(TRIM($E47))&gt;0,"入力済","任意")))</f>
        <v/>
      </c>
    </row>
    <row r="48" ht="34" customHeight="1">
      <c r="A48" s="15" t="n">
        <v>4</v>
      </c>
      <c r="B48" s="15" t="inlineStr">
        <is>
          <t>F405</t>
        </is>
      </c>
      <c r="C48" s="19" t="inlineStr">
        <is>
          <t>任意</t>
        </is>
      </c>
      <c r="D48" s="15" t="inlineStr">
        <is>
          <t>AI機能の想定収益モデル</t>
        </is>
      </c>
      <c r="E48" s="17" t="inlineStr"/>
      <c r="F48" s="15" t="inlineStr">
        <is>
          <t>現時点の仮説で構いません。</t>
        </is>
      </c>
      <c r="G48" s="18" t="inlineStr">
        <is>
          <t>AIアドオン;上位プラン;AI Agent実行回数課金;標準機能化による解約率低減</t>
        </is>
      </c>
      <c r="H48" s="15" t="inlineStr">
        <is>
          <t>Choice（複数選択）</t>
        </is>
      </c>
      <c r="I48" s="15" t="inlineStr">
        <is>
          <t>AIアドオン;上位プラン;利用量課金;AI Agent実行回数課金;帳票/文書処理件数課金;成果/業務KPI連動;標準機能化による解約率低減;未定</t>
        </is>
      </c>
      <c r="J48" s="15" t="inlineStr">
        <is>
          <t>AIRevenueModel</t>
        </is>
      </c>
      <c r="K48" s="15">
        <f>IF($B48="","",IF($C48="必須",IF(LEN(TRIM($E48))&gt;0,"OK","未入力"),IF(LEN(TRIM($E48))&gt;0,"入力済","任意")))</f>
        <v/>
      </c>
    </row>
    <row r="49" ht="66" customHeight="1">
      <c r="A49" s="15" t="n">
        <v>4</v>
      </c>
      <c r="B49" s="15" t="inlineStr">
        <is>
          <t>F406</t>
        </is>
      </c>
      <c r="C49" s="19" t="inlineStr">
        <is>
          <t>任意</t>
        </is>
      </c>
      <c r="D49" s="15" t="inlineStr">
        <is>
          <t>主な競合製品・競合企業</t>
        </is>
      </c>
      <c r="E49" s="17" t="inlineStr"/>
      <c r="F49" s="15" t="inlineStr">
        <is>
          <t>例：競合A、競合B、内製システム、特定業界PKG</t>
        </is>
      </c>
      <c r="G49" s="18" t="inlineStr">
        <is>
          <t>同業生産管理パッケージ、ERP、製造業向けSaaS、内製システム。詳細は顧客ヒアリングで確認。</t>
        </is>
      </c>
      <c r="H49" s="15" t="inlineStr">
        <is>
          <t>Text（長い回答）</t>
        </is>
      </c>
      <c r="I49" s="15" t="inlineStr"/>
      <c r="J49" s="15" t="inlineStr">
        <is>
          <t>Competitors</t>
        </is>
      </c>
      <c r="K49" s="15">
        <f>IF($B49="","",IF($C49="必須",IF(LEN(TRIM($E49))&gt;0,"OK","未入力"),IF(LEN(TRIM($E49))&gt;0,"入力済","任意")))</f>
        <v/>
      </c>
    </row>
    <row r="50" ht="66" customHeight="1">
      <c r="A50" s="15" t="n">
        <v>4</v>
      </c>
      <c r="B50" s="15" t="inlineStr">
        <is>
          <t>F407</t>
        </is>
      </c>
      <c r="C50" s="19" t="inlineStr">
        <is>
          <t>任意</t>
        </is>
      </c>
      <c r="D50" s="15" t="inlineStr">
        <is>
          <t>競合と比較したAI差別化仮説</t>
        </is>
      </c>
      <c r="E50" s="17" t="inlineStr"/>
      <c r="F50" s="15" t="inlineStr">
        <is>
          <t>断定ではなく現時点の仮説で構いません。公開情報、勝ち負け理由、自社データで差別化できる領域を記入してください。</t>
        </is>
      </c>
      <c r="G50" s="18" t="inlineStr">
        <is>
          <t>生産管理・販売管理・EDI・現場帳票などのデータを横断し、需要予測、納期遅延予兆、在庫リスク、調達価格影響を説明できるAI機能を提供することで差別化する仮説。</t>
        </is>
      </c>
      <c r="H50" s="15" t="inlineStr">
        <is>
          <t>Text（長い回答）</t>
        </is>
      </c>
      <c r="I50" s="15" t="inlineStr"/>
      <c r="J50" s="15" t="inlineStr">
        <is>
          <t>CompetitiveAIDifferentiation</t>
        </is>
      </c>
      <c r="K50" s="15">
        <f>IF($B50="","",IF($C50="必須",IF(LEN(TRIM($E50))&gt;0,"OK","未入力"),IF(LEN(TRIM($E50))&gt;0,"入力済","任意")))</f>
        <v/>
      </c>
    </row>
    <row r="51" ht="66" customHeight="1">
      <c r="A51" s="15" t="n">
        <v>4</v>
      </c>
      <c r="B51" s="15" t="inlineStr">
        <is>
          <t>F408</t>
        </is>
      </c>
      <c r="C51" s="19" t="inlineStr">
        <is>
          <t>任意</t>
        </is>
      </c>
      <c r="D51" s="15" t="inlineStr">
        <is>
          <t>市場投入上の課題・懸念</t>
        </is>
      </c>
      <c r="E51" s="17" t="inlineStr"/>
      <c r="F51" s="15" t="inlineStr">
        <is>
          <t>例：価格、競合、社内体制、営業説明、顧客のAI利用許諾、サポート体制</t>
        </is>
      </c>
      <c r="G51" s="18" t="inlineStr"/>
      <c r="H51" s="15" t="inlineStr">
        <is>
          <t>Text（長い回答）</t>
        </is>
      </c>
      <c r="I51" s="15" t="inlineStr"/>
      <c r="J51" s="15" t="inlineStr">
        <is>
          <t>GTMChallenges</t>
        </is>
      </c>
      <c r="K51" s="15">
        <f>IF($B51="","",IF($C51="必須",IF(LEN(TRIM($E51))&gt;0,"OK","未入力"),IF(LEN(TRIM($E51))&gt;0,"入力済","任意")))</f>
        <v/>
      </c>
    </row>
    <row r="52" ht="24" customHeight="1">
      <c r="A52" s="14" t="inlineStr">
        <is>
          <t>5. データ/IP・利用条件</t>
        </is>
      </c>
    </row>
    <row r="53" ht="66" customHeight="1">
      <c r="A53" s="15" t="n">
        <v>5</v>
      </c>
      <c r="B53" s="15" t="inlineStr">
        <is>
          <t>F501</t>
        </is>
      </c>
      <c r="C53" s="16" t="inlineStr">
        <is>
          <t>必須</t>
        </is>
      </c>
      <c r="D53" s="15" t="inlineStr">
        <is>
          <t>保有データ・業務IP</t>
        </is>
      </c>
      <c r="E53" s="17" t="inlineStr"/>
      <c r="F53" s="15" t="inlineStr">
        <is>
          <t>AI活用に使えそうなマスタ、実績、履歴、文書、業務ルール、ノウハウを記入してください。</t>
        </is>
      </c>
      <c r="G53" s="18" t="inlineStr">
        <is>
          <t>品目マスタ、BOM、取引先、工程、受注、出荷、生産計画、発注、受入、在庫、負荷、進捗、原価、請求、売掛、入金、仕入、買掛、支払、EDI取引、現場帳票、問い合わせ/マニュアル。</t>
        </is>
      </c>
      <c r="H53" s="15" t="inlineStr">
        <is>
          <t>Text（長い回答）</t>
        </is>
      </c>
      <c r="I53" s="15" t="inlineStr"/>
      <c r="J53" s="15" t="inlineStr">
        <is>
          <t>DataAssetsIP</t>
        </is>
      </c>
      <c r="K53" s="15">
        <f>IF($B53="","",IF($C53="必須",IF(LEN(TRIM($E53))&gt;0,"OK","未入力"),IF(LEN(TRIM($E53))&gt;0,"入力済","任意")))</f>
        <v/>
      </c>
    </row>
    <row r="54" ht="34" customHeight="1">
      <c r="A54" s="15" t="n">
        <v>5</v>
      </c>
      <c r="B54" s="15" t="inlineStr">
        <is>
          <t>F502</t>
        </is>
      </c>
      <c r="C54" s="19" t="inlineStr">
        <is>
          <t>任意</t>
        </is>
      </c>
      <c r="D54" s="15" t="inlineStr">
        <is>
          <t>データ種別</t>
        </is>
      </c>
      <c r="E54" s="17" t="inlineStr"/>
      <c r="F54" s="15" t="inlineStr">
        <is>
          <t>複数選択可。</t>
        </is>
      </c>
      <c r="G54" s="18" t="inlineStr">
        <is>
          <t>マスタデータ;トランザクション;文書/PDF/マニュアル;外部データ/API;複数企業間データ</t>
        </is>
      </c>
      <c r="H54" s="15" t="inlineStr">
        <is>
          <t>Choice（複数選択）</t>
        </is>
      </c>
      <c r="I54" s="15" t="inlineStr">
        <is>
          <t>マスタデータ;トランザクション;文書/PDF/マニュアル;ログ/利用履歴;画像/図面/帳票;音声/会話;外部データ/API;複数企業間データ;個人情報/機密情報を含む</t>
        </is>
      </c>
      <c r="J54" s="15" t="inlineStr">
        <is>
          <t>DataTypes</t>
        </is>
      </c>
      <c r="K54" s="15">
        <f>IF($B54="","",IF($C54="必須",IF(LEN(TRIM($E54))&gt;0,"OK","未入力"),IF(LEN(TRIM($E54))&gt;0,"入力済","任意")))</f>
        <v/>
      </c>
    </row>
    <row r="55" ht="34" customHeight="1">
      <c r="A55" s="15" t="n">
        <v>5</v>
      </c>
      <c r="B55" s="15" t="inlineStr">
        <is>
          <t>F503</t>
        </is>
      </c>
      <c r="C55" s="19" t="inlineStr">
        <is>
          <t>任意</t>
        </is>
      </c>
      <c r="D55" s="15" t="inlineStr">
        <is>
          <t>データの所在・保持場所</t>
        </is>
      </c>
      <c r="E55" s="17" t="inlineStr"/>
      <c r="F55" s="15" t="inlineStr">
        <is>
          <t>複数選択可。</t>
        </is>
      </c>
      <c r="G55" s="18" t="inlineStr">
        <is>
          <t>自社SaaS DB;顧客環境;外部基幹システム;EDI/外部取引基盤;ファイル/文書ストレージ</t>
        </is>
      </c>
      <c r="H55" s="15" t="inlineStr">
        <is>
          <t>Choice（複数選択）</t>
        </is>
      </c>
      <c r="I55" s="15" t="inlineStr">
        <is>
          <t>自社SaaS DB;顧客環境;外部基幹システム;ファイル/文書ストレージ;DWH/Datamart;Object Storage;EDI/外部取引基盤;未定</t>
        </is>
      </c>
      <c r="J55" s="15" t="inlineStr">
        <is>
          <t>DataLocation</t>
        </is>
      </c>
      <c r="K55" s="15">
        <f>IF($B55="","",IF($C55="必須",IF(LEN(TRIM($E55))&gt;0,"OK","未入力"),IF(LEN(TRIM($E55))&gt;0,"入力済","任意")))</f>
        <v/>
      </c>
    </row>
    <row r="56" ht="34" customHeight="1">
      <c r="A56" s="15" t="n">
        <v>5</v>
      </c>
      <c r="B56" s="15" t="inlineStr">
        <is>
          <t>F504</t>
        </is>
      </c>
      <c r="C56" s="19" t="inlineStr">
        <is>
          <t>任意</t>
        </is>
      </c>
      <c r="D56" s="15" t="inlineStr">
        <is>
          <t>データ形式・連携方式</t>
        </is>
      </c>
      <c r="E56" s="17" t="inlineStr"/>
      <c r="F56" s="15" t="inlineStr">
        <is>
          <t>複数選択可。</t>
        </is>
      </c>
      <c r="G56" s="18" t="inlineStr">
        <is>
          <t>RDB;CSV;API;EDI;PDF/文書;画像/帳票</t>
        </is>
      </c>
      <c r="H56" s="15" t="inlineStr">
        <is>
          <t>Choice（複数選択）</t>
        </is>
      </c>
      <c r="I56" s="15" t="inlineStr">
        <is>
          <t>RDB;CSV;API;EDI;PDF/文書;画像/帳票;ログ;音声;その他</t>
        </is>
      </c>
      <c r="J56" s="15" t="inlineStr">
        <is>
          <t>DataFormat</t>
        </is>
      </c>
      <c r="K56" s="15">
        <f>IF($B56="","",IF($C56="必須",IF(LEN(TRIM($E56))&gt;0,"OK","未入力"),IF(LEN(TRIM($E56))&gt;0,"入力済","任意")))</f>
        <v/>
      </c>
    </row>
    <row r="57" ht="66" customHeight="1">
      <c r="A57" s="15" t="n">
        <v>5</v>
      </c>
      <c r="B57" s="15" t="inlineStr">
        <is>
          <t>F505</t>
        </is>
      </c>
      <c r="C57" s="19" t="inlineStr">
        <is>
          <t>任意</t>
        </is>
      </c>
      <c r="D57" s="15" t="inlineStr">
        <is>
          <t>データ量・更新頻度・品質</t>
        </is>
      </c>
      <c r="E57" s="17" t="inlineStr"/>
      <c r="F57" s="15" t="inlineStr">
        <is>
          <t>例：履歴期間、件数、欠損、表記揺れ、マスタ整備状況、更新頻度</t>
        </is>
      </c>
      <c r="G57" s="18" t="inlineStr">
        <is>
          <t>データ量、履歴期間、欠損、表記揺れ、マスタ整備状況、更新頻度は初回ヒアリングで確認。</t>
        </is>
      </c>
      <c r="H57" s="15" t="inlineStr">
        <is>
          <t>Text（長い回答）</t>
        </is>
      </c>
      <c r="I57" s="15" t="inlineStr"/>
      <c r="J57" s="15" t="inlineStr">
        <is>
          <t>DataVolumeQuality</t>
        </is>
      </c>
      <c r="K57" s="15">
        <f>IF($B57="","",IF($C57="必須",IF(LEN(TRIM($E57))&gt;0,"OK","未入力"),IF(LEN(TRIM($E57))&gt;0,"入力済","任意")))</f>
        <v/>
      </c>
    </row>
    <row r="58" ht="66" customHeight="1">
      <c r="A58" s="15" t="n">
        <v>5</v>
      </c>
      <c r="B58" s="15" t="inlineStr">
        <is>
          <t>F506</t>
        </is>
      </c>
      <c r="C58" s="19" t="inlineStr">
        <is>
          <t>任意</t>
        </is>
      </c>
      <c r="D58" s="15" t="inlineStr">
        <is>
          <t>テナント分離・顧客データ方針</t>
        </is>
      </c>
      <c r="E58" s="17" t="inlineStr"/>
      <c r="F58" s="15" t="inlineStr">
        <is>
          <t>例：顧客テナントごとのデータ分離、顧客別DB、論理分離、共有データの有無</t>
        </is>
      </c>
      <c r="G58" s="18" t="inlineStr">
        <is>
          <t>顧客テナントごとのデータ分離、顧客データ利用許諾、匿名化/マスキング方針を確認。</t>
        </is>
      </c>
      <c r="H58" s="15" t="inlineStr">
        <is>
          <t>Text（長い回答）</t>
        </is>
      </c>
      <c r="I58" s="15" t="inlineStr"/>
      <c r="J58" s="15" t="inlineStr">
        <is>
          <t>TenantDataPolicy</t>
        </is>
      </c>
      <c r="K58" s="15">
        <f>IF($B58="","",IF($C58="必須",IF(LEN(TRIM($E58))&gt;0,"OK","未入力"),IF(LEN(TRIM($E58))&gt;0,"入力済","任意")))</f>
        <v/>
      </c>
    </row>
    <row r="59" ht="66" customHeight="1">
      <c r="A59" s="15" t="n">
        <v>5</v>
      </c>
      <c r="B59" s="15" t="inlineStr">
        <is>
          <t>F507</t>
        </is>
      </c>
      <c r="C59" s="19" t="inlineStr">
        <is>
          <t>任意</t>
        </is>
      </c>
      <c r="D59" s="15" t="inlineStr">
        <is>
          <t>データ利用許諾・匿名化/マスキング</t>
        </is>
      </c>
      <c r="E59" s="17" t="inlineStr"/>
      <c r="F59" s="15" t="inlineStr">
        <is>
          <t>例：PoC利用可否、匿名化データ、サンプルデータ、顧客同意範囲</t>
        </is>
      </c>
      <c r="G59" s="18" t="inlineStr">
        <is>
          <t>PoCで利用可能なサンプルデータ、匿名化データ、本番データ利用可否、顧客同意範囲を確認。</t>
        </is>
      </c>
      <c r="H59" s="15" t="inlineStr">
        <is>
          <t>Text（長い回答）</t>
        </is>
      </c>
      <c r="I59" s="15" t="inlineStr"/>
      <c r="J59" s="15" t="inlineStr">
        <is>
          <t>DataUsageConsent</t>
        </is>
      </c>
      <c r="K59" s="15">
        <f>IF($B59="","",IF($C59="必須",IF(LEN(TRIM($E59))&gt;0,"OK","未入力"),IF(LEN(TRIM($E59))&gt;0,"入力済","任意")))</f>
        <v/>
      </c>
    </row>
    <row r="60" ht="66" customHeight="1">
      <c r="A60" s="15" t="n">
        <v>5</v>
      </c>
      <c r="B60" s="15" t="inlineStr">
        <is>
          <t>F508</t>
        </is>
      </c>
      <c r="C60" s="19" t="inlineStr">
        <is>
          <t>任意</t>
        </is>
      </c>
      <c r="D60" s="15" t="inlineStr">
        <is>
          <t>複数企業/取引先データの取り扱い</t>
        </is>
      </c>
      <c r="E60" s="17" t="inlineStr"/>
      <c r="F60" s="15" t="inlineStr">
        <is>
          <t>EDI/サプライチェーン等で複数企業にまたがる場合、所有権、同意、共有範囲を記入してください。</t>
        </is>
      </c>
      <c r="G60" s="18" t="inlineStr">
        <is>
          <t>EDIFAS等の複数企業データについて、利用目的、データ所有権、同意、越境/共有範囲を最初に整理する。</t>
        </is>
      </c>
      <c r="H60" s="15" t="inlineStr">
        <is>
          <t>Text（長い回答）</t>
        </is>
      </c>
      <c r="I60" s="15" t="inlineStr"/>
      <c r="J60" s="15" t="inlineStr">
        <is>
          <t>MultiCompanyDataPolicy</t>
        </is>
      </c>
      <c r="K60" s="15">
        <f>IF($B60="","",IF($C60="必須",IF(LEN(TRIM($E60))&gt;0,"OK","未入力"),IF(LEN(TRIM($E60))&gt;0,"入力済","任意")))</f>
        <v/>
      </c>
    </row>
    <row r="61" ht="34" customHeight="1">
      <c r="A61" s="15" t="n">
        <v>5</v>
      </c>
      <c r="B61" s="15" t="inlineStr">
        <is>
          <t>F509_1</t>
        </is>
      </c>
      <c r="C61" s="19" t="inlineStr">
        <is>
          <t>任意</t>
        </is>
      </c>
      <c r="D61" s="15" t="inlineStr">
        <is>
          <t>データ成熟度：必要データが存在する</t>
        </is>
      </c>
      <c r="E61" s="17" t="inlineStr"/>
      <c r="F61" s="15" t="inlineStr">
        <is>
          <t>未整理 / 一部整理 / 整理済み / 検証済み / 不明 から選択してください。</t>
        </is>
      </c>
      <c r="G61" s="18" t="inlineStr"/>
      <c r="H61" s="15" t="inlineStr">
        <is>
          <t>Choice（単一選択）</t>
        </is>
      </c>
      <c r="I61" s="15" t="inlineStr">
        <is>
          <t>未整理;一部整理;整理済み;検証済み;不明</t>
        </is>
      </c>
      <c r="J61" s="15" t="inlineStr">
        <is>
          <t>DataReadinessCheck1</t>
        </is>
      </c>
      <c r="K61" s="15">
        <f>IF($B61="","",IF($C61="必須",IF(LEN(TRIM($E61))&gt;0,"OK","未入力"),IF(LEN(TRIM($E61))&gt;0,"入力済","任意")))</f>
        <v/>
      </c>
    </row>
    <row r="62" ht="34" customHeight="1">
      <c r="A62" s="15" t="n">
        <v>5</v>
      </c>
      <c r="B62" s="15" t="inlineStr">
        <is>
          <t>F509_2</t>
        </is>
      </c>
      <c r="C62" s="19" t="inlineStr">
        <is>
          <t>任意</t>
        </is>
      </c>
      <c r="D62" s="15" t="inlineStr">
        <is>
          <t>データ成熟度：データ項目定義が明確</t>
        </is>
      </c>
      <c r="E62" s="17" t="inlineStr"/>
      <c r="F62" s="15" t="inlineStr">
        <is>
          <t>未整理 / 一部整理 / 整理済み / 検証済み / 不明 から選択してください。</t>
        </is>
      </c>
      <c r="G62" s="18" t="inlineStr"/>
      <c r="H62" s="15" t="inlineStr">
        <is>
          <t>Choice（単一選択）</t>
        </is>
      </c>
      <c r="I62" s="15" t="inlineStr">
        <is>
          <t>未整理;一部整理;整理済み;検証済み;不明</t>
        </is>
      </c>
      <c r="J62" s="15" t="inlineStr">
        <is>
          <t>DataReadinessCheck2</t>
        </is>
      </c>
      <c r="K62" s="15">
        <f>IF($B62="","",IF($C62="必須",IF(LEN(TRIM($E62))&gt;0,"OK","未入力"),IF(LEN(TRIM($E62))&gt;0,"入力済","任意")))</f>
        <v/>
      </c>
    </row>
    <row r="63" ht="34" customHeight="1">
      <c r="A63" s="15" t="n">
        <v>5</v>
      </c>
      <c r="B63" s="15" t="inlineStr">
        <is>
          <t>F509_3</t>
        </is>
      </c>
      <c r="C63" s="19" t="inlineStr">
        <is>
          <t>任意</t>
        </is>
      </c>
      <c r="D63" s="15" t="inlineStr">
        <is>
          <t>データ成熟度：データ品質を把握している</t>
        </is>
      </c>
      <c r="E63" s="17" t="inlineStr"/>
      <c r="F63" s="15" t="inlineStr">
        <is>
          <t>未整理 / 一部整理 / 整理済み / 検証済み / 不明 から選択してください。</t>
        </is>
      </c>
      <c r="G63" s="18" t="inlineStr"/>
      <c r="H63" s="15" t="inlineStr">
        <is>
          <t>Choice（単一選択）</t>
        </is>
      </c>
      <c r="I63" s="15" t="inlineStr">
        <is>
          <t>未整理;一部整理;整理済み;検証済み;不明</t>
        </is>
      </c>
      <c r="J63" s="15" t="inlineStr">
        <is>
          <t>DataReadinessCheck3</t>
        </is>
      </c>
      <c r="K63" s="15">
        <f>IF($B63="","",IF($C63="必須",IF(LEN(TRIM($E63))&gt;0,"OK","未入力"),IF(LEN(TRIM($E63))&gt;0,"入力済","任意")))</f>
        <v/>
      </c>
    </row>
    <row r="64" ht="34" customHeight="1">
      <c r="A64" s="15" t="n">
        <v>5</v>
      </c>
      <c r="B64" s="15" t="inlineStr">
        <is>
          <t>F509_4</t>
        </is>
      </c>
      <c r="C64" s="19" t="inlineStr">
        <is>
          <t>任意</t>
        </is>
      </c>
      <c r="D64" s="15" t="inlineStr">
        <is>
          <t>データ成熟度：顧客データ利用許諾が整理済み</t>
        </is>
      </c>
      <c r="E64" s="17" t="inlineStr"/>
      <c r="F64" s="15" t="inlineStr">
        <is>
          <t>未整理 / 一部整理 / 整理済み / 検証済み / 不明 から選択してください。</t>
        </is>
      </c>
      <c r="G64" s="18" t="inlineStr"/>
      <c r="H64" s="15" t="inlineStr">
        <is>
          <t>Choice（単一選択）</t>
        </is>
      </c>
      <c r="I64" s="15" t="inlineStr">
        <is>
          <t>未整理;一部整理;整理済み;検証済み;不明</t>
        </is>
      </c>
      <c r="J64" s="15" t="inlineStr">
        <is>
          <t>DataReadinessCheck4</t>
        </is>
      </c>
      <c r="K64" s="15">
        <f>IF($B64="","",IF($C64="必須",IF(LEN(TRIM($E64))&gt;0,"OK","未入力"),IF(LEN(TRIM($E64))&gt;0,"入力済","任意")))</f>
        <v/>
      </c>
    </row>
    <row r="65" ht="34" customHeight="1">
      <c r="A65" s="15" t="n">
        <v>5</v>
      </c>
      <c r="B65" s="15" t="inlineStr">
        <is>
          <t>F509_5</t>
        </is>
      </c>
      <c r="C65" s="19" t="inlineStr">
        <is>
          <t>任意</t>
        </is>
      </c>
      <c r="D65" s="15" t="inlineStr">
        <is>
          <t>データ成熟度：匿名化・マスキング方針がある</t>
        </is>
      </c>
      <c r="E65" s="17" t="inlineStr"/>
      <c r="F65" s="15" t="inlineStr">
        <is>
          <t>未整理 / 一部整理 / 整理済み / 検証済み / 不明 から選択してください。</t>
        </is>
      </c>
      <c r="G65" s="18" t="inlineStr"/>
      <c r="H65" s="15" t="inlineStr">
        <is>
          <t>Choice（単一選択）</t>
        </is>
      </c>
      <c r="I65" s="15" t="inlineStr">
        <is>
          <t>未整理;一部整理;整理済み;検証済み;不明</t>
        </is>
      </c>
      <c r="J65" s="15" t="inlineStr">
        <is>
          <t>DataReadinessCheck5</t>
        </is>
      </c>
      <c r="K65" s="15">
        <f>IF($B65="","",IF($C65="必須",IF(LEN(TRIM($E65))&gt;0,"OK","未入力"),IF(LEN(TRIM($E65))&gt;0,"入力済","任意")))</f>
        <v/>
      </c>
    </row>
    <row r="66" ht="34" customHeight="1">
      <c r="A66" s="15" t="n">
        <v>5</v>
      </c>
      <c r="B66" s="15" t="inlineStr">
        <is>
          <t>F509_6</t>
        </is>
      </c>
      <c r="C66" s="19" t="inlineStr">
        <is>
          <t>任意</t>
        </is>
      </c>
      <c r="D66" s="15" t="inlineStr">
        <is>
          <t>データ成熟度：API・連携方式がある</t>
        </is>
      </c>
      <c r="E66" s="17" t="inlineStr"/>
      <c r="F66" s="15" t="inlineStr">
        <is>
          <t>未整理 / 一部整理 / 整理済み / 検証済み / 不明 から選択してください。</t>
        </is>
      </c>
      <c r="G66" s="18" t="inlineStr"/>
      <c r="H66" s="15" t="inlineStr">
        <is>
          <t>Choice（単一選択）</t>
        </is>
      </c>
      <c r="I66" s="15" t="inlineStr">
        <is>
          <t>未整理;一部整理;整理済み;検証済み;不明</t>
        </is>
      </c>
      <c r="J66" s="15" t="inlineStr">
        <is>
          <t>DataReadinessCheck6</t>
        </is>
      </c>
      <c r="K66" s="15">
        <f>IF($B66="","",IF($C66="必須",IF(LEN(TRIM($E66))&gt;0,"OK","未入力"),IF(LEN(TRIM($E66))&gt;0,"入力済","任意")))</f>
        <v/>
      </c>
    </row>
    <row r="67" ht="24" customHeight="1">
      <c r="A67" s="14" t="inlineStr">
        <is>
          <t>6. AIで実現したいこと</t>
        </is>
      </c>
    </row>
    <row r="68" ht="34" customHeight="1">
      <c r="A68" s="15" t="n">
        <v>6</v>
      </c>
      <c r="B68" s="15" t="inlineStr">
        <is>
          <t>F601</t>
        </is>
      </c>
      <c r="C68" s="16" t="inlineStr">
        <is>
          <t>必須</t>
        </is>
      </c>
      <c r="D68" s="15" t="inlineStr">
        <is>
          <t>AI活用目的</t>
        </is>
      </c>
      <c r="E68" s="17" t="inlineStr"/>
      <c r="F68" s="15" t="inlineStr">
        <is>
          <t>複数選択可。</t>
        </is>
      </c>
      <c r="G68" s="18" t="inlineStr">
        <is>
          <t>新サービス開発・収益増;競合差別化;業務効率化・運用効率化;顧客体験向上;コスト/原価率改善</t>
        </is>
      </c>
      <c r="H68" s="15" t="inlineStr">
        <is>
          <t>Choice（複数選択）</t>
        </is>
      </c>
      <c r="I68" s="15" t="inlineStr">
        <is>
          <t>新サービス開発・収益増;競合差別化;業務効率化・運用効率化;顧客体験向上;従業員体験向上;コスト/原価率改善;リスク低減・品質向上;開発生産性向上</t>
        </is>
      </c>
      <c r="J68" s="15" t="inlineStr">
        <is>
          <t>AIObjectives</t>
        </is>
      </c>
      <c r="K68" s="15">
        <f>IF($B68="","",IF($C68="必須",IF(LEN(TRIM($E68))&gt;0,"OK","未入力"),IF(LEN(TRIM($E68))&gt;0,"入力済","任意")))</f>
        <v/>
      </c>
    </row>
    <row r="69" ht="66" customHeight="1">
      <c r="A69" s="15" t="n">
        <v>6</v>
      </c>
      <c r="B69" s="15" t="inlineStr">
        <is>
          <t>F602</t>
        </is>
      </c>
      <c r="C69" s="16" t="inlineStr">
        <is>
          <t>必須</t>
        </is>
      </c>
      <c r="D69" s="15" t="inlineStr">
        <is>
          <t>AIで何を行いたいか</t>
        </is>
      </c>
      <c r="E69" s="17" t="inlineStr"/>
      <c r="F69" s="15" t="inlineStr">
        <is>
          <t>例：需給・在庫の予測、問い合わせ対応、自然言語検索、文書生成、業務支援Agent</t>
        </is>
      </c>
      <c r="G69" s="18" t="inlineStr">
        <is>
          <t>需給・在庫の予測、欠品/過剰在庫リスク検知、納期遅延予兆、負荷偏り検知、調達価格変動の利益影響予測、製造・生産管理の問い合わせ対応、マニュアル/過去事例検索。</t>
        </is>
      </c>
      <c r="H69" s="15" t="inlineStr">
        <is>
          <t>Text（長い回答）</t>
        </is>
      </c>
      <c r="I69" s="15" t="inlineStr"/>
      <c r="J69" s="15" t="inlineStr">
        <is>
          <t>WhatToDoWithAI</t>
        </is>
      </c>
      <c r="K69" s="15">
        <f>IF($B69="","",IF($C69="必須",IF(LEN(TRIM($E69))&gt;0,"OK","未入力"),IF(LEN(TRIM($E69))&gt;0,"入力済","任意")))</f>
        <v/>
      </c>
    </row>
    <row r="70" ht="66" customHeight="1">
      <c r="A70" s="15" t="n">
        <v>6</v>
      </c>
      <c r="B70" s="15" t="inlineStr">
        <is>
          <t>F603</t>
        </is>
      </c>
      <c r="C70" s="19" t="inlineStr">
        <is>
          <t>任意</t>
        </is>
      </c>
      <c r="D70" s="15" t="inlineStr">
        <is>
          <t>期待するAI機能・サービス内容</t>
        </is>
      </c>
      <c r="E70" s="17" t="inlineStr"/>
      <c r="F70" s="15" t="inlineStr">
        <is>
          <t>複数選択可。</t>
        </is>
      </c>
      <c r="G70" s="18" t="inlineStr">
        <is>
          <t>RAG/ナレッジ検索;自然言語でのデータ問い合わせ;予測;異常検知;AI Agentによる業務実行支援;文書/帳票生成</t>
        </is>
      </c>
      <c r="H70" s="15" t="inlineStr">
        <is>
          <t>Choice（複数選択）</t>
        </is>
      </c>
      <c r="I70" s="15" t="inlineStr">
        <is>
          <t>RAG/ナレッジ検索;自然言語でのデータ問い合わせ;要約;文書/帳票生成;予測;異常検知;最適化/推薦;画像・帳票認識;音声/議事録;AI Agentによる業務実行支援;コード/開発支援;運用監視</t>
        </is>
      </c>
      <c r="J70" s="15" t="inlineStr">
        <is>
          <t>AIFeatureExpectations</t>
        </is>
      </c>
      <c r="K70" s="15">
        <f>IF($B70="","",IF($C70="必須",IF(LEN(TRIM($E70))&gt;0,"OK","未入力"),IF(LEN(TRIM($E70))&gt;0,"入力済","任意")))</f>
        <v/>
      </c>
    </row>
    <row r="71" ht="34" customHeight="1">
      <c r="A71" s="15" t="n">
        <v>6</v>
      </c>
      <c r="B71" s="15" t="inlineStr">
        <is>
          <t>F604</t>
        </is>
      </c>
      <c r="C71" s="19" t="inlineStr">
        <is>
          <t>任意</t>
        </is>
      </c>
      <c r="D71" s="15" t="inlineStr">
        <is>
          <t>AIの実行レベル</t>
        </is>
      </c>
      <c r="E71" s="17" t="inlineStr"/>
      <c r="F71" s="15" t="inlineStr">
        <is>
          <t>AIがどこまで行う想定かを選択してください。</t>
        </is>
      </c>
      <c r="G71" s="18" t="inlineStr">
        <is>
          <t>提案・推奨まで</t>
        </is>
      </c>
      <c r="H71" s="15" t="inlineStr">
        <is>
          <t>Choice（単一選択）</t>
        </is>
      </c>
      <c r="I71" s="15" t="inlineStr">
        <is>
          <t>説明/回答のみ;提案・推奨まで;人間承認後に実行;条件付きで自動実行;完全自動実行を検討;未定</t>
        </is>
      </c>
      <c r="J71" s="15" t="inlineStr">
        <is>
          <t>AIExecutionLevel</t>
        </is>
      </c>
      <c r="K71" s="15">
        <f>IF($B71="","",IF($C71="必須",IF(LEN(TRIM($E71))&gt;0,"OK","未入力"),IF(LEN(TRIM($E71))&gt;0,"入力済","任意")))</f>
        <v/>
      </c>
    </row>
    <row r="72" ht="66" customHeight="1">
      <c r="A72" s="15" t="n">
        <v>6</v>
      </c>
      <c r="B72" s="15" t="inlineStr">
        <is>
          <t>F605</t>
        </is>
      </c>
      <c r="C72" s="19" t="inlineStr">
        <is>
          <t>任意</t>
        </is>
      </c>
      <c r="D72" s="15" t="inlineStr">
        <is>
          <t>人による確認/承認が必要な場面</t>
        </is>
      </c>
      <c r="E72" s="17" t="inlineStr"/>
      <c r="F72" s="15" t="inlineStr">
        <is>
          <t>例：発注、計画変更、価格提示、外部通知、顧客データ参照、法令判断</t>
        </is>
      </c>
      <c r="G72" s="18" t="inlineStr">
        <is>
          <t>計画変更、発注、外部通知、価格提示、顧客データをまたぐ分析は人間承認を前提とする。</t>
        </is>
      </c>
      <c r="H72" s="15" t="inlineStr">
        <is>
          <t>Text（長い回答）</t>
        </is>
      </c>
      <c r="I72" s="15" t="inlineStr"/>
      <c r="J72" s="15" t="inlineStr">
        <is>
          <t>HumanInLoop</t>
        </is>
      </c>
      <c r="K72" s="15">
        <f>IF($B72="","",IF($C72="必須",IF(LEN(TRIM($E72))&gt;0,"OK","未入力"),IF(LEN(TRIM($E72))&gt;0,"入力済","任意")))</f>
        <v/>
      </c>
    </row>
    <row r="73" ht="66" customHeight="1">
      <c r="A73" s="15" t="n">
        <v>6</v>
      </c>
      <c r="B73" s="15" t="inlineStr">
        <is>
          <t>F606</t>
        </is>
      </c>
      <c r="C73" s="19" t="inlineStr">
        <is>
          <t>任意</t>
        </is>
      </c>
      <c r="D73" s="15" t="inlineStr">
        <is>
          <t>期待するKPI/ビジネス効果</t>
        </is>
      </c>
      <c r="E73" s="17" t="inlineStr"/>
      <c r="F73" s="15" t="inlineStr">
        <is>
          <t>例：問い合わせ一次解決率、回答精度、業務時間削減、在庫削減、納期遵守率、ARPU向上、解約率低下</t>
        </is>
      </c>
      <c r="G73" s="18" t="inlineStr">
        <is>
          <t>在庫削減、欠品/過剰在庫の抑制、納期遵守率向上、問い合わせ対応時間削減、計画変更判断の迅速化、AI機能による新規収益化。</t>
        </is>
      </c>
      <c r="H73" s="15" t="inlineStr">
        <is>
          <t>Text（長い回答）</t>
        </is>
      </c>
      <c r="I73" s="15" t="inlineStr"/>
      <c r="J73" s="15" t="inlineStr">
        <is>
          <t>BusinessKPI</t>
        </is>
      </c>
      <c r="K73" s="15">
        <f>IF($B73="","",IF($C73="必須",IF(LEN(TRIM($E73))&gt;0,"OK","未入力"),IF(LEN(TRIM($E73))&gt;0,"入力済","任意")))</f>
        <v/>
      </c>
    </row>
    <row r="74" ht="34" customHeight="1">
      <c r="A74" s="15" t="n">
        <v>6</v>
      </c>
      <c r="B74" s="15" t="inlineStr">
        <is>
          <t>F607</t>
        </is>
      </c>
      <c r="C74" s="19" t="inlineStr">
        <is>
          <t>任意</t>
        </is>
      </c>
      <c r="D74" s="15" t="inlineStr">
        <is>
          <t>AI機能の想定利用者</t>
        </is>
      </c>
      <c r="E74" s="17" t="inlineStr"/>
      <c r="F74" s="15" t="inlineStr">
        <is>
          <t>複数選択可。</t>
        </is>
      </c>
      <c r="G74" s="18" t="inlineStr"/>
      <c r="H74" s="15" t="inlineStr">
        <is>
          <t>Choice（複数選択）</t>
        </is>
      </c>
      <c r="I74" s="15" t="inlineStr">
        <is>
          <t>エンドユーザー;管理者;経営/管理職;サポート担当;開発/運用担当;顧客企業のIT部門;取引先/サプライヤー;その他</t>
        </is>
      </c>
      <c r="J74" s="15" t="inlineStr">
        <is>
          <t>AIUserPersona</t>
        </is>
      </c>
      <c r="K74" s="15">
        <f>IF($B74="","",IF($C74="必須",IF(LEN(TRIM($E74))&gt;0,"OK","未入力"),IF(LEN(TRIM($E74))&gt;0,"入力済","任意")))</f>
        <v/>
      </c>
    </row>
    <row r="75" ht="24" customHeight="1">
      <c r="A75" s="14" t="inlineStr">
        <is>
          <t>7. AIユースケース候補</t>
        </is>
      </c>
    </row>
    <row r="76" ht="34" customHeight="1">
      <c r="A76" s="15" t="n">
        <v>7</v>
      </c>
      <c r="B76" s="15" t="inlineStr">
        <is>
          <t>F711</t>
        </is>
      </c>
      <c r="C76" s="16" t="inlineStr">
        <is>
          <t>必須</t>
        </is>
      </c>
      <c r="D76" s="15" t="inlineStr">
        <is>
          <t>ユースケース1：名称</t>
        </is>
      </c>
      <c r="E76" s="17" t="inlineStr"/>
      <c r="F76" s="15" t="inlineStr">
        <is>
          <t>例：需要予測・在庫最適化、納期遅延予兆、AI業務アシスタント</t>
        </is>
      </c>
      <c r="G76" s="18" t="inlineStr">
        <is>
          <t>需要予測・在庫最適化</t>
        </is>
      </c>
      <c r="H76" s="15" t="inlineStr">
        <is>
          <t>Text（短い回答）</t>
        </is>
      </c>
      <c r="I76" s="15" t="inlineStr"/>
      <c r="J76" s="15" t="inlineStr">
        <is>
          <t>UseCase1Name</t>
        </is>
      </c>
      <c r="K76" s="15">
        <f>IF($B76="","",IF($C76="必須",IF(LEN(TRIM($E76))&gt;0,"OK","未入力"),IF(LEN(TRIM($E76))&gt;0,"入力済","任意")))</f>
        <v/>
      </c>
    </row>
    <row r="77" ht="34" customHeight="1">
      <c r="A77" s="15" t="n">
        <v>7</v>
      </c>
      <c r="B77" s="15" t="inlineStr">
        <is>
          <t>F712</t>
        </is>
      </c>
      <c r="C77" s="16" t="inlineStr">
        <is>
          <t>必須</t>
        </is>
      </c>
      <c r="D77" s="15" t="inlineStr">
        <is>
          <t>ユースケース1：業務領域</t>
        </is>
      </c>
      <c r="E77" s="17" t="inlineStr"/>
      <c r="F77" s="15" t="inlineStr">
        <is>
          <t>該当する業務領域を選択してください。</t>
        </is>
      </c>
      <c r="G77" s="18" t="inlineStr">
        <is>
          <t>需給・在庫</t>
        </is>
      </c>
      <c r="H77" s="15" t="inlineStr">
        <is>
          <t>Choice（単一選択）</t>
        </is>
      </c>
      <c r="I77" s="15" t="inlineStr">
        <is>
          <t>需給・在庫;生産計画・進捗;原価・調達;業務支援;サプライチェーン;製品開発・運用;カスタマーサポート;セキュリティ;その他</t>
        </is>
      </c>
      <c r="J77" s="15" t="inlineStr">
        <is>
          <t>UseCase1Domain</t>
        </is>
      </c>
      <c r="K77" s="15">
        <f>IF($B77="","",IF($C77="必須",IF(LEN(TRIM($E77))&gt;0,"OK","未入力"),IF(LEN(TRIM($E77))&gt;0,"入力済","任意")))</f>
        <v/>
      </c>
    </row>
    <row r="78" ht="34" customHeight="1">
      <c r="A78" s="15" t="n">
        <v>7</v>
      </c>
      <c r="B78" s="15" t="inlineStr">
        <is>
          <t>F713</t>
        </is>
      </c>
      <c r="C78" s="16" t="inlineStr">
        <is>
          <t>必須</t>
        </is>
      </c>
      <c r="D78" s="15" t="inlineStr">
        <is>
          <t>ユースケース1：優先度</t>
        </is>
      </c>
      <c r="E78" s="17" t="inlineStr"/>
      <c r="F78" s="15" t="inlineStr">
        <is>
          <t>現時点の優先度で構いません。</t>
        </is>
      </c>
      <c r="G78" s="18" t="inlineStr">
        <is>
          <t>高</t>
        </is>
      </c>
      <c r="H78" s="15" t="inlineStr">
        <is>
          <t>Choice（単一選択）</t>
        </is>
      </c>
      <c r="I78" s="15" t="inlineStr">
        <is>
          <t>高;中;低;未定</t>
        </is>
      </c>
      <c r="J78" s="15" t="inlineStr">
        <is>
          <t>UseCase1Priority</t>
        </is>
      </c>
      <c r="K78" s="15">
        <f>IF($B78="","",IF($C78="必須",IF(LEN(TRIM($E78))&gt;0,"OK","未入力"),IF(LEN(TRIM($E78))&gt;0,"入力済","任意")))</f>
        <v/>
      </c>
    </row>
    <row r="79" ht="66" customHeight="1">
      <c r="A79" s="15" t="n">
        <v>7</v>
      </c>
      <c r="B79" s="15" t="inlineStr">
        <is>
          <t>F714</t>
        </is>
      </c>
      <c r="C79" s="16" t="inlineStr">
        <is>
          <t>必須</t>
        </is>
      </c>
      <c r="D79" s="15" t="inlineStr">
        <is>
          <t>ユースケース1：利用シナリオ</t>
        </is>
      </c>
      <c r="E79" s="17" t="inlineStr"/>
      <c r="F79" s="15" t="inlineStr">
        <is>
          <t>誰が、どの業務で、どのようにAIを利用するかを記入してください。</t>
        </is>
      </c>
      <c r="G79" s="18" t="inlineStr">
        <is>
          <t>販売/受注/在庫履歴から将来需要を予測し、安全在庫・発注点を提案する。</t>
        </is>
      </c>
      <c r="H79" s="15" t="inlineStr">
        <is>
          <t>Text（長い回答）</t>
        </is>
      </c>
      <c r="I79" s="15" t="inlineStr"/>
      <c r="J79" s="15" t="inlineStr">
        <is>
          <t>UseCase1Scenario</t>
        </is>
      </c>
      <c r="K79" s="15">
        <f>IF($B79="","",IF($C79="必須",IF(LEN(TRIM($E79))&gt;0,"OK","未入力"),IF(LEN(TRIM($E79))&gt;0,"入力済","任意")))</f>
        <v/>
      </c>
    </row>
    <row r="80" ht="66" customHeight="1">
      <c r="A80" s="15" t="n">
        <v>7</v>
      </c>
      <c r="B80" s="15" t="inlineStr">
        <is>
          <t>F715</t>
        </is>
      </c>
      <c r="C80" s="16" t="inlineStr">
        <is>
          <t>必須</t>
        </is>
      </c>
      <c r="D80" s="15" t="inlineStr">
        <is>
          <t>ユースケース1：必要データ</t>
        </is>
      </c>
      <c r="E80" s="17" t="inlineStr"/>
      <c r="F80" s="15" t="inlineStr">
        <is>
          <t>例：販売/受注履歴、在庫、品目、BOM、リードタイム、マニュアル、FAQ</t>
        </is>
      </c>
      <c r="G80" s="18" t="inlineStr">
        <is>
          <t>販売/受注履歴、在庫、品目、BOM、リードタイム、発注履歴、季節性データ。</t>
        </is>
      </c>
      <c r="H80" s="15" t="inlineStr">
        <is>
          <t>Text（長い回答）</t>
        </is>
      </c>
      <c r="I80" s="15" t="inlineStr"/>
      <c r="J80" s="15" t="inlineStr">
        <is>
          <t>UseCase1RequiredData</t>
        </is>
      </c>
      <c r="K80" s="15">
        <f>IF($B80="","",IF($C80="必須",IF(LEN(TRIM($E80))&gt;0,"OK","未入力"),IF(LEN(TRIM($E80))&gt;0,"入力済","任意")))</f>
        <v/>
      </c>
    </row>
    <row r="81" ht="34" customHeight="1">
      <c r="A81" s="15" t="n">
        <v>7</v>
      </c>
      <c r="B81" s="15" t="inlineStr">
        <is>
          <t>F716</t>
        </is>
      </c>
      <c r="C81" s="19" t="inlineStr">
        <is>
          <t>任意</t>
        </is>
      </c>
      <c r="D81" s="15" t="inlineStr">
        <is>
          <t>ユースケース1：想定AI技術</t>
        </is>
      </c>
      <c r="E81" s="17" t="inlineStr"/>
      <c r="F81" s="15" t="inlineStr">
        <is>
          <t>複数選択可。</t>
        </is>
      </c>
      <c r="G81" s="18" t="inlineStr">
        <is>
          <t>予測/時系列分析;生成AI;データ可視化</t>
        </is>
      </c>
      <c r="H81" s="15" t="inlineStr">
        <is>
          <t>Choice（複数選択）</t>
        </is>
      </c>
      <c r="I81" s="15" t="inlineStr">
        <is>
          <t>生成AI;RAG;Vector Search;AI Agent;自然言語SQL/NL2SQL;予測/時系列分析;異常検知;最適化;画像認識;文書理解/OCR;音声認識;データ可視化;Human-in-the-loop</t>
        </is>
      </c>
      <c r="J81" s="15" t="inlineStr">
        <is>
          <t>UseCase1AITech</t>
        </is>
      </c>
      <c r="K81" s="15">
        <f>IF($B81="","",IF($C81="必須",IF(LEN(TRIM($E81))&gt;0,"OK","未入力"),IF(LEN(TRIM($E81))&gt;0,"入力済","任意")))</f>
        <v/>
      </c>
    </row>
    <row r="82" ht="66" customHeight="1">
      <c r="A82" s="15" t="n">
        <v>7</v>
      </c>
      <c r="B82" s="15" t="inlineStr">
        <is>
          <t>F717</t>
        </is>
      </c>
      <c r="C82" s="19" t="inlineStr">
        <is>
          <t>任意</t>
        </is>
      </c>
      <c r="D82" s="15" t="inlineStr">
        <is>
          <t>ユースケース1：期待効果/KPI</t>
        </is>
      </c>
      <c r="E82" s="17" t="inlineStr"/>
      <c r="F82" s="15" t="inlineStr">
        <is>
          <t>例：在庫削減率、欠品率、問い合わせ一次解決率、サポート工数削減</t>
        </is>
      </c>
      <c r="G82" s="18" t="inlineStr">
        <is>
          <t>在庫削減率、欠品率、過剰在庫額、発注判断時間。</t>
        </is>
      </c>
      <c r="H82" s="15" t="inlineStr">
        <is>
          <t>Text（長い回答）</t>
        </is>
      </c>
      <c r="I82" s="15" t="inlineStr"/>
      <c r="J82" s="15" t="inlineStr">
        <is>
          <t>UseCase1ImpactKPI</t>
        </is>
      </c>
      <c r="K82" s="15">
        <f>IF($B82="","",IF($C82="必須",IF(LEN(TRIM($E82))&gt;0,"OK","未入力"),IF(LEN(TRIM($E82))&gt;0,"入力済","任意")))</f>
        <v/>
      </c>
    </row>
    <row r="83" ht="34" customHeight="1">
      <c r="A83" s="15" t="n">
        <v>7</v>
      </c>
      <c r="B83" s="15" t="inlineStr">
        <is>
          <t>F721</t>
        </is>
      </c>
      <c r="C83" s="19" t="inlineStr">
        <is>
          <t>任意</t>
        </is>
      </c>
      <c r="D83" s="15" t="inlineStr">
        <is>
          <t>ユースケース2：名称</t>
        </is>
      </c>
      <c r="E83" s="17" t="inlineStr"/>
      <c r="F83" s="15" t="inlineStr">
        <is>
          <t>例：需要予測・在庫最適化、納期遅延予兆、AI業務アシスタント</t>
        </is>
      </c>
      <c r="G83" s="18" t="inlineStr">
        <is>
          <t>納期遅延予兆・計画変更影響説明</t>
        </is>
      </c>
      <c r="H83" s="15" t="inlineStr">
        <is>
          <t>Text（短い回答）</t>
        </is>
      </c>
      <c r="I83" s="15" t="inlineStr"/>
      <c r="J83" s="15" t="inlineStr">
        <is>
          <t>UseCase2Name</t>
        </is>
      </c>
      <c r="K83" s="15">
        <f>IF($B83="","",IF($C83="必須",IF(LEN(TRIM($E83))&gt;0,"OK","未入力"),IF(LEN(TRIM($E83))&gt;0,"入力済","任意")))</f>
        <v/>
      </c>
    </row>
    <row r="84" ht="34" customHeight="1">
      <c r="A84" s="15" t="n">
        <v>7</v>
      </c>
      <c r="B84" s="15" t="inlineStr">
        <is>
          <t>F722</t>
        </is>
      </c>
      <c r="C84" s="19" t="inlineStr">
        <is>
          <t>任意</t>
        </is>
      </c>
      <c r="D84" s="15" t="inlineStr">
        <is>
          <t>ユースケース2：業務領域</t>
        </is>
      </c>
      <c r="E84" s="17" t="inlineStr"/>
      <c r="F84" s="15" t="inlineStr">
        <is>
          <t>該当する業務領域を選択してください。</t>
        </is>
      </c>
      <c r="G84" s="18" t="inlineStr">
        <is>
          <t>生産計画・進捗</t>
        </is>
      </c>
      <c r="H84" s="15" t="inlineStr">
        <is>
          <t>Choice（単一選択）</t>
        </is>
      </c>
      <c r="I84" s="15" t="inlineStr">
        <is>
          <t>需給・在庫;生産計画・進捗;原価・調達;業務支援;サプライチェーン;製品開発・運用;カスタマーサポート;セキュリティ;その他</t>
        </is>
      </c>
      <c r="J84" s="15" t="inlineStr">
        <is>
          <t>UseCase2Domain</t>
        </is>
      </c>
      <c r="K84" s="15">
        <f>IF($B84="","",IF($C84="必須",IF(LEN(TRIM($E84))&gt;0,"OK","未入力"),IF(LEN(TRIM($E84))&gt;0,"入力済","任意")))</f>
        <v/>
      </c>
    </row>
    <row r="85" ht="34" customHeight="1">
      <c r="A85" s="15" t="n">
        <v>7</v>
      </c>
      <c r="B85" s="15" t="inlineStr">
        <is>
          <t>F723</t>
        </is>
      </c>
      <c r="C85" s="19" t="inlineStr">
        <is>
          <t>任意</t>
        </is>
      </c>
      <c r="D85" s="15" t="inlineStr">
        <is>
          <t>ユースケース2：優先度</t>
        </is>
      </c>
      <c r="E85" s="17" t="inlineStr"/>
      <c r="F85" s="15" t="inlineStr">
        <is>
          <t>現時点の優先度で構いません。</t>
        </is>
      </c>
      <c r="G85" s="18" t="inlineStr">
        <is>
          <t>高</t>
        </is>
      </c>
      <c r="H85" s="15" t="inlineStr">
        <is>
          <t>Choice（単一選択）</t>
        </is>
      </c>
      <c r="I85" s="15" t="inlineStr">
        <is>
          <t>高;中;低;未定</t>
        </is>
      </c>
      <c r="J85" s="15" t="inlineStr">
        <is>
          <t>UseCase2Priority</t>
        </is>
      </c>
      <c r="K85" s="15">
        <f>IF($B85="","",IF($C85="必須",IF(LEN(TRIM($E85))&gt;0,"OK","未入力"),IF(LEN(TRIM($E85))&gt;0,"入力済","任意")))</f>
        <v/>
      </c>
    </row>
    <row r="86" ht="66" customHeight="1">
      <c r="A86" s="15" t="n">
        <v>7</v>
      </c>
      <c r="B86" s="15" t="inlineStr">
        <is>
          <t>F724</t>
        </is>
      </c>
      <c r="C86" s="19" t="inlineStr">
        <is>
          <t>任意</t>
        </is>
      </c>
      <c r="D86" s="15" t="inlineStr">
        <is>
          <t>ユースケース2：利用シナリオ</t>
        </is>
      </c>
      <c r="E86" s="17" t="inlineStr"/>
      <c r="F86" s="15" t="inlineStr">
        <is>
          <t>誰が、どの業務で、どのようにAIを利用するかを記入してください。</t>
        </is>
      </c>
      <c r="G86" s="18" t="inlineStr">
        <is>
          <t>生産計画、進捗、負荷、在庫、購買状況をもとに遅延リスクを検知し、影響範囲を自然言語で説明する。</t>
        </is>
      </c>
      <c r="H86" s="15" t="inlineStr">
        <is>
          <t>Text（長い回答）</t>
        </is>
      </c>
      <c r="I86" s="15" t="inlineStr"/>
      <c r="J86" s="15" t="inlineStr">
        <is>
          <t>UseCase2Scenario</t>
        </is>
      </c>
      <c r="K86" s="15">
        <f>IF($B86="","",IF($C86="必須",IF(LEN(TRIM($E86))&gt;0,"OK","未入力"),IF(LEN(TRIM($E86))&gt;0,"入力済","任意")))</f>
        <v/>
      </c>
    </row>
    <row r="87" ht="66" customHeight="1">
      <c r="A87" s="15" t="n">
        <v>7</v>
      </c>
      <c r="B87" s="15" t="inlineStr">
        <is>
          <t>F725</t>
        </is>
      </c>
      <c r="C87" s="19" t="inlineStr">
        <is>
          <t>任意</t>
        </is>
      </c>
      <c r="D87" s="15" t="inlineStr">
        <is>
          <t>ユースケース2：必要データ</t>
        </is>
      </c>
      <c r="E87" s="17" t="inlineStr"/>
      <c r="F87" s="15" t="inlineStr">
        <is>
          <t>例：販売/受注履歴、在庫、品目、BOM、リードタイム、マニュアル、FAQ</t>
        </is>
      </c>
      <c r="G87" s="18" t="inlineStr">
        <is>
          <t>生産計画、進捗、負荷、工程、受注、納期変更履歴、購買/在庫。</t>
        </is>
      </c>
      <c r="H87" s="15" t="inlineStr">
        <is>
          <t>Text（長い回答）</t>
        </is>
      </c>
      <c r="I87" s="15" t="inlineStr"/>
      <c r="J87" s="15" t="inlineStr">
        <is>
          <t>UseCase2RequiredData</t>
        </is>
      </c>
      <c r="K87" s="15">
        <f>IF($B87="","",IF($C87="必須",IF(LEN(TRIM($E87))&gt;0,"OK","未入力"),IF(LEN(TRIM($E87))&gt;0,"入力済","任意")))</f>
        <v/>
      </c>
    </row>
    <row r="88" ht="34" customHeight="1">
      <c r="A88" s="15" t="n">
        <v>7</v>
      </c>
      <c r="B88" s="15" t="inlineStr">
        <is>
          <t>F726</t>
        </is>
      </c>
      <c r="C88" s="19" t="inlineStr">
        <is>
          <t>任意</t>
        </is>
      </c>
      <c r="D88" s="15" t="inlineStr">
        <is>
          <t>ユースケース2：想定AI技術</t>
        </is>
      </c>
      <c r="E88" s="17" t="inlineStr"/>
      <c r="F88" s="15" t="inlineStr">
        <is>
          <t>複数選択可。</t>
        </is>
      </c>
      <c r="G88" s="18" t="inlineStr">
        <is>
          <t>異常検知;予測/時系列分析;生成AI;RAG</t>
        </is>
      </c>
      <c r="H88" s="15" t="inlineStr">
        <is>
          <t>Choice（複数選択）</t>
        </is>
      </c>
      <c r="I88" s="15" t="inlineStr">
        <is>
          <t>生成AI;RAG;Vector Search;AI Agent;自然言語SQL/NL2SQL;予測/時系列分析;異常検知;最適化;画像認識;文書理解/OCR;音声認識;データ可視化;Human-in-the-loop</t>
        </is>
      </c>
      <c r="J88" s="15" t="inlineStr">
        <is>
          <t>UseCase2AITech</t>
        </is>
      </c>
      <c r="K88" s="15">
        <f>IF($B88="","",IF($C88="必須",IF(LEN(TRIM($E88))&gt;0,"OK","未入力"),IF(LEN(TRIM($E88))&gt;0,"入力済","任意")))</f>
        <v/>
      </c>
    </row>
    <row r="89" ht="66" customHeight="1">
      <c r="A89" s="15" t="n">
        <v>7</v>
      </c>
      <c r="B89" s="15" t="inlineStr">
        <is>
          <t>F727</t>
        </is>
      </c>
      <c r="C89" s="19" t="inlineStr">
        <is>
          <t>任意</t>
        </is>
      </c>
      <c r="D89" s="15" t="inlineStr">
        <is>
          <t>ユースケース2：期待効果/KPI</t>
        </is>
      </c>
      <c r="E89" s="17" t="inlineStr"/>
      <c r="F89" s="15" t="inlineStr">
        <is>
          <t>例：在庫削減率、欠品率、問い合わせ一次解決率、サポート工数削減</t>
        </is>
      </c>
      <c r="G89" s="18" t="inlineStr">
        <is>
          <t>納期遵守率、遅延検知リードタイム、計画変更工数。</t>
        </is>
      </c>
      <c r="H89" s="15" t="inlineStr">
        <is>
          <t>Text（長い回答）</t>
        </is>
      </c>
      <c r="I89" s="15" t="inlineStr"/>
      <c r="J89" s="15" t="inlineStr">
        <is>
          <t>UseCase2ImpactKPI</t>
        </is>
      </c>
      <c r="K89" s="15">
        <f>IF($B89="","",IF($C89="必須",IF(LEN(TRIM($E89))&gt;0,"OK","未入力"),IF(LEN(TRIM($E89))&gt;0,"入力済","任意")))</f>
        <v/>
      </c>
    </row>
    <row r="90" ht="34" customHeight="1">
      <c r="A90" s="15" t="n">
        <v>7</v>
      </c>
      <c r="B90" s="15" t="inlineStr">
        <is>
          <t>F731</t>
        </is>
      </c>
      <c r="C90" s="19" t="inlineStr">
        <is>
          <t>任意</t>
        </is>
      </c>
      <c r="D90" s="15" t="inlineStr">
        <is>
          <t>ユースケース3：名称</t>
        </is>
      </c>
      <c r="E90" s="17" t="inlineStr"/>
      <c r="F90" s="15" t="inlineStr">
        <is>
          <t>例：需要予測・在庫最適化、納期遅延予兆、AI業務アシスタント</t>
        </is>
      </c>
      <c r="G90" s="18" t="inlineStr">
        <is>
          <t>製造業務AIアシスタント</t>
        </is>
      </c>
      <c r="H90" s="15" t="inlineStr">
        <is>
          <t>Text（短い回答）</t>
        </is>
      </c>
      <c r="I90" s="15" t="inlineStr"/>
      <c r="J90" s="15" t="inlineStr">
        <is>
          <t>UseCase3Name</t>
        </is>
      </c>
      <c r="K90" s="15">
        <f>IF($B90="","",IF($C90="必須",IF(LEN(TRIM($E90))&gt;0,"OK","未入力"),IF(LEN(TRIM($E90))&gt;0,"入力済","任意")))</f>
        <v/>
      </c>
    </row>
    <row r="91" ht="34" customHeight="1">
      <c r="A91" s="15" t="n">
        <v>7</v>
      </c>
      <c r="B91" s="15" t="inlineStr">
        <is>
          <t>F732</t>
        </is>
      </c>
      <c r="C91" s="19" t="inlineStr">
        <is>
          <t>任意</t>
        </is>
      </c>
      <c r="D91" s="15" t="inlineStr">
        <is>
          <t>ユースケース3：業務領域</t>
        </is>
      </c>
      <c r="E91" s="17" t="inlineStr"/>
      <c r="F91" s="15" t="inlineStr">
        <is>
          <t>該当する業務領域を選択してください。</t>
        </is>
      </c>
      <c r="G91" s="18" t="inlineStr">
        <is>
          <t>業務支援</t>
        </is>
      </c>
      <c r="H91" s="15" t="inlineStr">
        <is>
          <t>Choice（単一選択）</t>
        </is>
      </c>
      <c r="I91" s="15" t="inlineStr">
        <is>
          <t>需給・在庫;生産計画・進捗;原価・調達;業務支援;サプライチェーン;製品開発・運用;カスタマーサポート;セキュリティ;その他</t>
        </is>
      </c>
      <c r="J91" s="15" t="inlineStr">
        <is>
          <t>UseCase3Domain</t>
        </is>
      </c>
      <c r="K91" s="15">
        <f>IF($B91="","",IF($C91="必須",IF(LEN(TRIM($E91))&gt;0,"OK","未入力"),IF(LEN(TRIM($E91))&gt;0,"入力済","任意")))</f>
        <v/>
      </c>
    </row>
    <row r="92" ht="34" customHeight="1">
      <c r="A92" s="15" t="n">
        <v>7</v>
      </c>
      <c r="B92" s="15" t="inlineStr">
        <is>
          <t>F733</t>
        </is>
      </c>
      <c r="C92" s="19" t="inlineStr">
        <is>
          <t>任意</t>
        </is>
      </c>
      <c r="D92" s="15" t="inlineStr">
        <is>
          <t>ユースケース3：優先度</t>
        </is>
      </c>
      <c r="E92" s="17" t="inlineStr"/>
      <c r="F92" s="15" t="inlineStr">
        <is>
          <t>現時点の優先度で構いません。</t>
        </is>
      </c>
      <c r="G92" s="18" t="inlineStr">
        <is>
          <t>中</t>
        </is>
      </c>
      <c r="H92" s="15" t="inlineStr">
        <is>
          <t>Choice（単一選択）</t>
        </is>
      </c>
      <c r="I92" s="15" t="inlineStr">
        <is>
          <t>高;中;低;未定</t>
        </is>
      </c>
      <c r="J92" s="15" t="inlineStr">
        <is>
          <t>UseCase3Priority</t>
        </is>
      </c>
      <c r="K92" s="15">
        <f>IF($B92="","",IF($C92="必須",IF(LEN(TRIM($E92))&gt;0,"OK","未入力"),IF(LEN(TRIM($E92))&gt;0,"入力済","任意")))</f>
        <v/>
      </c>
    </row>
    <row r="93" ht="66" customHeight="1">
      <c r="A93" s="15" t="n">
        <v>7</v>
      </c>
      <c r="B93" s="15" t="inlineStr">
        <is>
          <t>F734</t>
        </is>
      </c>
      <c r="C93" s="19" t="inlineStr">
        <is>
          <t>任意</t>
        </is>
      </c>
      <c r="D93" s="15" t="inlineStr">
        <is>
          <t>ユースケース3：利用シナリオ</t>
        </is>
      </c>
      <c r="E93" s="17" t="inlineStr"/>
      <c r="F93" s="15" t="inlineStr">
        <is>
          <t>誰が、どの業務で、どのようにAIを利用するかを記入してください。</t>
        </is>
      </c>
      <c r="G93" s="18" t="inlineStr">
        <is>
          <t>ユーザーが自然言語で操作方法、過去事例、在庫/受注/生産状況を問い合わせ、根拠付き回答を受け取る。</t>
        </is>
      </c>
      <c r="H93" s="15" t="inlineStr">
        <is>
          <t>Text（長い回答）</t>
        </is>
      </c>
      <c r="I93" s="15" t="inlineStr"/>
      <c r="J93" s="15" t="inlineStr">
        <is>
          <t>UseCase3Scenario</t>
        </is>
      </c>
      <c r="K93" s="15">
        <f>IF($B93="","",IF($C93="必須",IF(LEN(TRIM($E93))&gt;0,"OK","未入力"),IF(LEN(TRIM($E93))&gt;0,"入力済","任意")))</f>
        <v/>
      </c>
    </row>
    <row r="94" ht="66" customHeight="1">
      <c r="A94" s="15" t="n">
        <v>7</v>
      </c>
      <c r="B94" s="15" t="inlineStr">
        <is>
          <t>F735</t>
        </is>
      </c>
      <c r="C94" s="19" t="inlineStr">
        <is>
          <t>任意</t>
        </is>
      </c>
      <c r="D94" s="15" t="inlineStr">
        <is>
          <t>ユースケース3：必要データ</t>
        </is>
      </c>
      <c r="E94" s="17" t="inlineStr"/>
      <c r="F94" s="15" t="inlineStr">
        <is>
          <t>例：販売/受注履歴、在庫、品目、BOM、リードタイム、マニュアル、FAQ</t>
        </is>
      </c>
      <c r="G94" s="18" t="inlineStr">
        <is>
          <t>製品マニュアル、FAQ、過去問い合わせ、業務データ、権限情報。</t>
        </is>
      </c>
      <c r="H94" s="15" t="inlineStr">
        <is>
          <t>Text（長い回答）</t>
        </is>
      </c>
      <c r="I94" s="15" t="inlineStr"/>
      <c r="J94" s="15" t="inlineStr">
        <is>
          <t>UseCase3RequiredData</t>
        </is>
      </c>
      <c r="K94" s="15">
        <f>IF($B94="","",IF($C94="必須",IF(LEN(TRIM($E94))&gt;0,"OK","未入力"),IF(LEN(TRIM($E94))&gt;0,"入力済","任意")))</f>
        <v/>
      </c>
    </row>
    <row r="95" ht="34" customHeight="1">
      <c r="A95" s="15" t="n">
        <v>7</v>
      </c>
      <c r="B95" s="15" t="inlineStr">
        <is>
          <t>F736</t>
        </is>
      </c>
      <c r="C95" s="19" t="inlineStr">
        <is>
          <t>任意</t>
        </is>
      </c>
      <c r="D95" s="15" t="inlineStr">
        <is>
          <t>ユースケース3：想定AI技術</t>
        </is>
      </c>
      <c r="E95" s="17" t="inlineStr"/>
      <c r="F95" s="15" t="inlineStr">
        <is>
          <t>複数選択可。</t>
        </is>
      </c>
      <c r="G95" s="18" t="inlineStr">
        <is>
          <t>RAG;Vector Search;生成AI;Human-in-the-loop</t>
        </is>
      </c>
      <c r="H95" s="15" t="inlineStr">
        <is>
          <t>Choice（複数選択）</t>
        </is>
      </c>
      <c r="I95" s="15" t="inlineStr">
        <is>
          <t>生成AI;RAG;Vector Search;AI Agent;自然言語SQL/NL2SQL;予測/時系列分析;異常検知;最適化;画像認識;文書理解/OCR;音声認識;データ可視化;Human-in-the-loop</t>
        </is>
      </c>
      <c r="J95" s="15" t="inlineStr">
        <is>
          <t>UseCase3AITech</t>
        </is>
      </c>
      <c r="K95" s="15">
        <f>IF($B95="","",IF($C95="必須",IF(LEN(TRIM($E95))&gt;0,"OK","未入力"),IF(LEN(TRIM($E95))&gt;0,"入力済","任意")))</f>
        <v/>
      </c>
    </row>
    <row r="96" ht="66" customHeight="1">
      <c r="A96" s="15" t="n">
        <v>7</v>
      </c>
      <c r="B96" s="15" t="inlineStr">
        <is>
          <t>F737</t>
        </is>
      </c>
      <c r="C96" s="19" t="inlineStr">
        <is>
          <t>任意</t>
        </is>
      </c>
      <c r="D96" s="15" t="inlineStr">
        <is>
          <t>ユースケース3：期待効果/KPI</t>
        </is>
      </c>
      <c r="E96" s="17" t="inlineStr"/>
      <c r="F96" s="15" t="inlineStr">
        <is>
          <t>例：在庫削減率、欠品率、問い合わせ一次解決率、サポート工数削減</t>
        </is>
      </c>
      <c r="G96" s="18" t="inlineStr">
        <is>
          <t>問い合わせ一次解決率、回答精度、サポート工数削減、顧客満足度。</t>
        </is>
      </c>
      <c r="H96" s="15" t="inlineStr">
        <is>
          <t>Text（長い回答）</t>
        </is>
      </c>
      <c r="I96" s="15" t="inlineStr"/>
      <c r="J96" s="15" t="inlineStr">
        <is>
          <t>UseCase3ImpactKPI</t>
        </is>
      </c>
      <c r="K96" s="15">
        <f>IF($B96="","",IF($C96="必須",IF(LEN(TRIM($E96))&gt;0,"OK","未入力"),IF(LEN(TRIM($E96))&gt;0,"入力済","任意")))</f>
        <v/>
      </c>
    </row>
    <row r="97" ht="24" customHeight="1">
      <c r="A97" s="14" t="inlineStr">
        <is>
          <t>8. 技術・OCI期待範囲</t>
        </is>
      </c>
    </row>
    <row r="98" ht="66" customHeight="1">
      <c r="A98" s="15" t="n">
        <v>8</v>
      </c>
      <c r="B98" s="15" t="inlineStr">
        <is>
          <t>F801</t>
        </is>
      </c>
      <c r="C98" s="19" t="inlineStr">
        <is>
          <t>任意</t>
        </is>
      </c>
      <c r="D98" s="15" t="inlineStr">
        <is>
          <t>現行アーキテクチャ概要</t>
        </is>
      </c>
      <c r="E98" s="17" t="inlineStr"/>
      <c r="F98" s="15" t="inlineStr">
        <is>
          <t>クラウド、DB、API、認証、テナント構成、外部連携、画面/バックエンド構成を記入してください。</t>
        </is>
      </c>
      <c r="G98" s="18" t="inlineStr">
        <is>
          <t>現行プラットフォーム、DB、API、認証、テナント構成、データ連携図を確認。</t>
        </is>
      </c>
      <c r="H98" s="15" t="inlineStr">
        <is>
          <t>Text（長い回答）</t>
        </is>
      </c>
      <c r="I98" s="15" t="inlineStr"/>
      <c r="J98" s="15" t="inlineStr">
        <is>
          <t>CurrentArchitecture</t>
        </is>
      </c>
      <c r="K98" s="15">
        <f>IF($B98="","",IF($C98="必須",IF(LEN(TRIM($E98))&gt;0,"OK","未入力"),IF(LEN(TRIM($E98))&gt;0,"入力済","任意")))</f>
        <v/>
      </c>
    </row>
    <row r="99" ht="34" customHeight="1">
      <c r="A99" s="15" t="n">
        <v>8</v>
      </c>
      <c r="B99" s="15" t="inlineStr">
        <is>
          <t>F802</t>
        </is>
      </c>
      <c r="C99" s="19" t="inlineStr">
        <is>
          <t>任意</t>
        </is>
      </c>
      <c r="D99" s="15" t="inlineStr">
        <is>
          <t>利用中クラウド/基盤</t>
        </is>
      </c>
      <c r="E99" s="17" t="inlineStr"/>
      <c r="F99" s="15" t="inlineStr">
        <is>
          <t>複数選択可。</t>
        </is>
      </c>
      <c r="G99" s="18" t="inlineStr"/>
      <c r="H99" s="15" t="inlineStr">
        <is>
          <t>Choice（複数選択）</t>
        </is>
      </c>
      <c r="I99" s="15" t="inlineStr">
        <is>
          <t>AWS;Azure;Google Cloud;OCI;オンプレミス;自社DC;SaaS/PaaS;未定/非公開</t>
        </is>
      </c>
      <c r="J99" s="15" t="inlineStr">
        <is>
          <t>CurrentCloudPlatform</t>
        </is>
      </c>
      <c r="K99" s="15">
        <f>IF($B99="","",IF($C99="必須",IF(LEN(TRIM($E99))&gt;0,"OK","未入力"),IF(LEN(TRIM($E99))&gt;0,"入力済","任意")))</f>
        <v/>
      </c>
    </row>
    <row r="100" ht="34" customHeight="1">
      <c r="A100" s="15" t="n">
        <v>8</v>
      </c>
      <c r="B100" s="15" t="inlineStr">
        <is>
          <t>F803</t>
        </is>
      </c>
      <c r="C100" s="19" t="inlineStr">
        <is>
          <t>任意</t>
        </is>
      </c>
      <c r="D100" s="15" t="inlineStr">
        <is>
          <t>利用中DB/データ基盤</t>
        </is>
      </c>
      <c r="E100" s="17" t="inlineStr"/>
      <c r="F100" s="15" t="inlineStr">
        <is>
          <t>複数選択可。</t>
        </is>
      </c>
      <c r="G100" s="18" t="inlineStr"/>
      <c r="H100" s="15" t="inlineStr">
        <is>
          <t>Choice（複数選択）</t>
        </is>
      </c>
      <c r="I100" s="15" t="inlineStr">
        <is>
          <t>Oracle Database;PostgreSQL;MySQL;SQL Server;NoSQL;DWH;Data Lake;Search Engine;その他</t>
        </is>
      </c>
      <c r="J100" s="15" t="inlineStr">
        <is>
          <t>CurrentDBPlatform</t>
        </is>
      </c>
      <c r="K100" s="15">
        <f>IF($B100="","",IF($C100="必須",IF(LEN(TRIM($E100))&gt;0,"OK","未入力"),IF(LEN(TRIM($E100))&gt;0,"入力済","任意")))</f>
        <v/>
      </c>
    </row>
    <row r="101" ht="66" customHeight="1">
      <c r="A101" s="15" t="n">
        <v>8</v>
      </c>
      <c r="B101" s="15" t="inlineStr">
        <is>
          <t>F804</t>
        </is>
      </c>
      <c r="C101" s="19" t="inlineStr">
        <is>
          <t>任意</t>
        </is>
      </c>
      <c r="D101" s="15" t="inlineStr">
        <is>
          <t>API・認証・外部連携</t>
        </is>
      </c>
      <c r="E101" s="17" t="inlineStr"/>
      <c r="F101" s="15" t="inlineStr">
        <is>
          <t>例：REST API、CSV連携、EDI、SAML/OIDC、顧客別認証、外部基幹システム連携</t>
        </is>
      </c>
      <c r="G101" s="18" t="inlineStr">
        <is>
          <t>外部基幹システムとのAPI/CSV連携、EDI、認証、権限制御、既存業務画面との連携方式を確認。</t>
        </is>
      </c>
      <c r="H101" s="15" t="inlineStr">
        <is>
          <t>Text（長い回答）</t>
        </is>
      </c>
      <c r="I101" s="15" t="inlineStr"/>
      <c r="J101" s="15" t="inlineStr">
        <is>
          <t>APIAuthIntegration</t>
        </is>
      </c>
      <c r="K101" s="15">
        <f>IF($B101="","",IF($C101="必須",IF(LEN(TRIM($E101))&gt;0,"OK","未入力"),IF(LEN(TRIM($E101))&gt;0,"入力済","任意")))</f>
        <v/>
      </c>
    </row>
    <row r="102" ht="66" customHeight="1">
      <c r="A102" s="15" t="n">
        <v>8</v>
      </c>
      <c r="B102" s="15" t="inlineStr">
        <is>
          <t>F805</t>
        </is>
      </c>
      <c r="C102" s="19" t="inlineStr">
        <is>
          <t>任意</t>
        </is>
      </c>
      <c r="D102" s="15" t="inlineStr">
        <is>
          <t>OCI上で求める範囲</t>
        </is>
      </c>
      <c r="E102" s="17" t="inlineStr"/>
      <c r="F102" s="15" t="inlineStr">
        <is>
          <t>複数選択可。</t>
        </is>
      </c>
      <c r="G102" s="18" t="inlineStr">
        <is>
          <t>データ基盤;生成AI;RAG;AI Agent;Vector Search;アプリ連携;セキュリティ;監視・運用</t>
        </is>
      </c>
      <c r="H102" s="15" t="inlineStr">
        <is>
          <t>Choice（複数選択）</t>
        </is>
      </c>
      <c r="I102" s="15" t="inlineStr">
        <is>
          <t>データ基盤;生成AI;RAG;AI Agent;Vector Search;アプリ連携;セキュリティ;監視・運用;移行/マルチクラウド;PoC環境;未定</t>
        </is>
      </c>
      <c r="J102" s="15" t="inlineStr">
        <is>
          <t>OCIScope</t>
        </is>
      </c>
      <c r="K102" s="15">
        <f>IF($B102="","",IF($C102="必須",IF(LEN(TRIM($E102))&gt;0,"OK","未入力"),IF(LEN(TRIM($E102))&gt;0,"入力済","任意")))</f>
        <v/>
      </c>
    </row>
    <row r="103" ht="66" customHeight="1">
      <c r="A103" s="15" t="n">
        <v>8</v>
      </c>
      <c r="B103" s="15" t="inlineStr">
        <is>
          <t>F806</t>
        </is>
      </c>
      <c r="C103" s="19" t="inlineStr">
        <is>
          <t>任意</t>
        </is>
      </c>
      <c r="D103" s="15" t="inlineStr">
        <is>
          <t>非機能要件</t>
        </is>
      </c>
      <c r="E103" s="17" t="inlineStr"/>
      <c r="F103" s="15" t="inlineStr">
        <is>
          <t>例：画面応答、AI回答時間、可用性、コスト、監査ログ、DR、運用監視、マルチテナント性能</t>
        </is>
      </c>
      <c r="G103" s="18" t="inlineStr">
        <is>
          <t>画面応答、AI回答時間、可用性、コスト、監査ログ、DR、運用監視、マルチテナント性能。</t>
        </is>
      </c>
      <c r="H103" s="15" t="inlineStr">
        <is>
          <t>Text（長い回答）</t>
        </is>
      </c>
      <c r="I103" s="15" t="inlineStr"/>
      <c r="J103" s="15" t="inlineStr">
        <is>
          <t>NonFunctionalRequirements</t>
        </is>
      </c>
      <c r="K103" s="15">
        <f>IF($B103="","",IF($C103="必須",IF(LEN(TRIM($E103))&gt;0,"OK","未入力"),IF(LEN(TRIM($E103))&gt;0,"入力済","任意")))</f>
        <v/>
      </c>
    </row>
    <row r="104" ht="66" customHeight="1">
      <c r="A104" s="15" t="n">
        <v>8</v>
      </c>
      <c r="B104" s="15" t="inlineStr">
        <is>
          <t>F807</t>
        </is>
      </c>
      <c r="C104" s="19" t="inlineStr">
        <is>
          <t>任意</t>
        </is>
      </c>
      <c r="D104" s="15" t="inlineStr">
        <is>
          <t>既存制約・移行条件</t>
        </is>
      </c>
      <c r="E104" s="17" t="inlineStr"/>
      <c r="F104" s="15" t="inlineStr">
        <is>
          <t>例：既存顧客環境、契約、レガシー連携、クラウド制約、データ移行制約</t>
        </is>
      </c>
      <c r="G104" s="18" t="inlineStr"/>
      <c r="H104" s="15" t="inlineStr">
        <is>
          <t>Text（長い回答）</t>
        </is>
      </c>
      <c r="I104" s="15" t="inlineStr"/>
      <c r="J104" s="15" t="inlineStr">
        <is>
          <t>ExistingConstraints</t>
        </is>
      </c>
      <c r="K104" s="15">
        <f>IF($B104="","",IF($C104="必須",IF(LEN(TRIM($E104))&gt;0,"OK","未入力"),IF(LEN(TRIM($E104))&gt;0,"入力済","任意")))</f>
        <v/>
      </c>
    </row>
    <row r="105" ht="66" customHeight="1">
      <c r="A105" s="15" t="n">
        <v>8</v>
      </c>
      <c r="B105" s="15" t="inlineStr">
        <is>
          <t>F808</t>
        </is>
      </c>
      <c r="C105" s="19" t="inlineStr">
        <is>
          <t>任意</t>
        </is>
      </c>
      <c r="D105" s="15" t="inlineStr">
        <is>
          <t>Oracle/OCIに相談したいこと</t>
        </is>
      </c>
      <c r="E105" s="17" t="inlineStr"/>
      <c r="F105" s="15" t="inlineStr">
        <is>
          <t>例：アーキテクチャ、コスト、AI精度、セキュリティ、PoC、共同GTM</t>
        </is>
      </c>
      <c r="G105" s="18" t="inlineStr"/>
      <c r="H105" s="15" t="inlineStr">
        <is>
          <t>Text（長い回答）</t>
        </is>
      </c>
      <c r="I105" s="15" t="inlineStr"/>
      <c r="J105" s="15" t="inlineStr">
        <is>
          <t>OracleQuestions</t>
        </is>
      </c>
      <c r="K105" s="15">
        <f>IF($B105="","",IF($C105="必須",IF(LEN(TRIM($E105))&gt;0,"OK","未入力"),IF(LEN(TRIM($E105))&gt;0,"入力済","任意")))</f>
        <v/>
      </c>
    </row>
    <row r="106" ht="24" customHeight="1">
      <c r="A106" s="14" t="inlineStr">
        <is>
          <t>9. セキュリティ / ガバナンス</t>
        </is>
      </c>
    </row>
    <row r="107" ht="34" customHeight="1">
      <c r="A107" s="15" t="n">
        <v>9</v>
      </c>
      <c r="B107" s="15" t="inlineStr">
        <is>
          <t>F901</t>
        </is>
      </c>
      <c r="C107" s="19" t="inlineStr">
        <is>
          <t>任意</t>
        </is>
      </c>
      <c r="D107" s="15" t="inlineStr">
        <is>
          <t>セキュリティ要件</t>
        </is>
      </c>
      <c r="E107" s="17" t="inlineStr"/>
      <c r="F107" s="15" t="inlineStr">
        <is>
          <t>複数選択可。</t>
        </is>
      </c>
      <c r="G107" s="18" t="inlineStr">
        <is>
          <t>テナント分離;暗号化;アクセス制御;監査ログ;プロンプト/入力制御;出力フィルタリング</t>
        </is>
      </c>
      <c r="H107" s="15" t="inlineStr">
        <is>
          <t>Choice（複数選択）</t>
        </is>
      </c>
      <c r="I107" s="15" t="inlineStr">
        <is>
          <t>テナント分離;暗号化;アクセス制御;監査ログ;ネットワーク分離;キー管理;データ保管場所;脆弱性管理;プロンプト/入力制御;出力フィルタリング</t>
        </is>
      </c>
      <c r="J107" s="15" t="inlineStr">
        <is>
          <t>SecurityRequirements</t>
        </is>
      </c>
      <c r="K107" s="15">
        <f>IF($B107="","",IF($C107="必須",IF(LEN(TRIM($E107))&gt;0,"OK","未入力"),IF(LEN(TRIM($E107))&gt;0,"入力済","任意")))</f>
        <v/>
      </c>
    </row>
    <row r="108" ht="66" customHeight="1">
      <c r="A108" s="15" t="n">
        <v>9</v>
      </c>
      <c r="B108" s="15" t="inlineStr">
        <is>
          <t>F902</t>
        </is>
      </c>
      <c r="C108" s="19" t="inlineStr">
        <is>
          <t>任意</t>
        </is>
      </c>
      <c r="D108" s="15" t="inlineStr">
        <is>
          <t>法規制・コンプライアンス</t>
        </is>
      </c>
      <c r="E108" s="17" t="inlineStr"/>
      <c r="F108" s="15" t="inlineStr">
        <is>
          <t>例：個人情報、業界規制、電子帳簿保存法、顧客契約、越境/共有範囲</t>
        </is>
      </c>
      <c r="G108" s="18" t="inlineStr">
        <is>
          <t>個人情報、電子帳簿保存法、顧客契約、企業間データ共有、越境/共有範囲。</t>
        </is>
      </c>
      <c r="H108" s="15" t="inlineStr">
        <is>
          <t>Text（長い回答）</t>
        </is>
      </c>
      <c r="I108" s="15" t="inlineStr"/>
      <c r="J108" s="15" t="inlineStr">
        <is>
          <t>ComplianceRequirements</t>
        </is>
      </c>
      <c r="K108" s="15">
        <f>IF($B108="","",IF($C108="必須",IF(LEN(TRIM($E108))&gt;0,"OK","未入力"),IF(LEN(TRIM($E108))&gt;0,"入力済","任意")))</f>
        <v/>
      </c>
    </row>
    <row r="109" ht="66" customHeight="1">
      <c r="A109" s="15" t="n">
        <v>9</v>
      </c>
      <c r="B109" s="15" t="inlineStr">
        <is>
          <t>F903</t>
        </is>
      </c>
      <c r="C109" s="19" t="inlineStr">
        <is>
          <t>任意</t>
        </is>
      </c>
      <c r="D109" s="15" t="inlineStr">
        <is>
          <t>AI利用上の懸念・NG領域</t>
        </is>
      </c>
      <c r="E109" s="17" t="inlineStr"/>
      <c r="F109" s="15" t="inlineStr">
        <is>
          <t>例：誤回答、説明責任、自動発注、価格提示、顧客データ横断利用、プロンプトインジェクション</t>
        </is>
      </c>
      <c r="G109" s="18" t="inlineStr">
        <is>
          <t>誤回答、説明責任、計画/発注への自動反映範囲、複数企業データの利用、プロンプトインジェクション。</t>
        </is>
      </c>
      <c r="H109" s="15" t="inlineStr">
        <is>
          <t>Text（長い回答）</t>
        </is>
      </c>
      <c r="I109" s="15" t="inlineStr"/>
      <c r="J109" s="15" t="inlineStr">
        <is>
          <t>AIRisksNG</t>
        </is>
      </c>
      <c r="K109" s="15">
        <f>IF($B109="","",IF($C109="必須",IF(LEN(TRIM($E109))&gt;0,"OK","未入力"),IF(LEN(TRIM($E109))&gt;0,"入力済","任意")))</f>
        <v/>
      </c>
    </row>
    <row r="110" ht="66" customHeight="1">
      <c r="A110" s="15" t="n">
        <v>9</v>
      </c>
      <c r="B110" s="15" t="inlineStr">
        <is>
          <t>F904</t>
        </is>
      </c>
      <c r="C110" s="19" t="inlineStr">
        <is>
          <t>任意</t>
        </is>
      </c>
      <c r="D110" s="15" t="inlineStr">
        <is>
          <t>監査・ログ・運用管理</t>
        </is>
      </c>
      <c r="E110" s="17" t="inlineStr"/>
      <c r="F110" s="15" t="inlineStr">
        <is>
          <t>例：質問履歴、参照データ、回答根拠、承認履歴、AI提案の採用/却下ログ</t>
        </is>
      </c>
      <c r="G110" s="18" t="inlineStr">
        <is>
          <t>質問履歴、参照データ、回答根拠、承認履歴、AI提案の採用/却下ログ。</t>
        </is>
      </c>
      <c r="H110" s="15" t="inlineStr">
        <is>
          <t>Text（長い回答）</t>
        </is>
      </c>
      <c r="I110" s="15" t="inlineStr"/>
      <c r="J110" s="15" t="inlineStr">
        <is>
          <t>AuditMonitoring</t>
        </is>
      </c>
      <c r="K110" s="15">
        <f>IF($B110="","",IF($C110="必須",IF(LEN(TRIM($E110))&gt;0,"OK","未入力"),IF(LEN(TRIM($E110))&gt;0,"入力済","任意")))</f>
        <v/>
      </c>
    </row>
    <row r="111" ht="34" customHeight="1">
      <c r="A111" s="15" t="n">
        <v>9</v>
      </c>
      <c r="B111" s="15" t="inlineStr">
        <is>
          <t>F905</t>
        </is>
      </c>
      <c r="C111" s="19" t="inlineStr">
        <is>
          <t>任意</t>
        </is>
      </c>
      <c r="D111" s="15" t="inlineStr">
        <is>
          <t>本番データ利用可能性</t>
        </is>
      </c>
      <c r="E111" s="17" t="inlineStr"/>
      <c r="F111" s="15" t="inlineStr">
        <is>
          <t>PoC/検証で利用できるデータの範囲を選択してください。</t>
        </is>
      </c>
      <c r="G111" s="18" t="inlineStr"/>
      <c r="H111" s="15" t="inlineStr">
        <is>
          <t>Choice（単一選択）</t>
        </is>
      </c>
      <c r="I111" s="15" t="inlineStr">
        <is>
          <t>利用不可;匿名化データのみ可;サンプルデータのみ可;条件付きで本番データ可;個別合意後に判断;未定</t>
        </is>
      </c>
      <c r="J111" s="15" t="inlineStr">
        <is>
          <t>ProductionDataAvailability</t>
        </is>
      </c>
      <c r="K111" s="15">
        <f>IF($B111="","",IF($C111="必須",IF(LEN(TRIM($E111))&gt;0,"OK","未入力"),IF(LEN(TRIM($E111))&gt;0,"入力済","任意")))</f>
        <v/>
      </c>
    </row>
    <row r="112" ht="34" customHeight="1">
      <c r="A112" s="15" t="n">
        <v>9</v>
      </c>
      <c r="B112" s="15" t="inlineStr">
        <is>
          <t>F906</t>
        </is>
      </c>
      <c r="C112" s="19" t="inlineStr">
        <is>
          <t>任意</t>
        </is>
      </c>
      <c r="D112" s="15" t="inlineStr">
        <is>
          <t>生成AI利用に関する社内承認状況</t>
        </is>
      </c>
      <c r="E112" s="17" t="inlineStr"/>
      <c r="F112" s="15" t="inlineStr">
        <is>
          <t>現時点での社内承認状況を選択してください。</t>
        </is>
      </c>
      <c r="G112" s="18" t="inlineStr"/>
      <c r="H112" s="15" t="inlineStr">
        <is>
          <t>Choice（単一選択）</t>
        </is>
      </c>
      <c r="I112" s="15" t="inlineStr">
        <is>
          <t>承認済み;条件付き承認;申請中;未承認;未確認</t>
        </is>
      </c>
      <c r="J112" s="15" t="inlineStr">
        <is>
          <t>GenAIApprovalStatus</t>
        </is>
      </c>
      <c r="K112" s="15">
        <f>IF($B112="","",IF($C112="必須",IF(LEN(TRIM($E112))&gt;0,"OK","未入力"),IF(LEN(TRIM($E112))&gt;0,"入力済","任意")))</f>
        <v/>
      </c>
    </row>
    <row r="113" ht="24" customHeight="1">
      <c r="A113" s="14" t="inlineStr">
        <is>
          <t>10. PoC・評価条件・提出資料</t>
        </is>
      </c>
    </row>
    <row r="114" ht="66" customHeight="1">
      <c r="A114" s="15" t="n">
        <v>10</v>
      </c>
      <c r="B114" s="15" t="inlineStr">
        <is>
          <t>F1001</t>
        </is>
      </c>
      <c r="C114" s="19" t="inlineStr">
        <is>
          <t>任意</t>
        </is>
      </c>
      <c r="D114" s="15" t="inlineStr">
        <is>
          <t>PoC対象顧客・対象業務</t>
        </is>
      </c>
      <c r="E114" s="17" t="inlineStr"/>
      <c r="F114" s="15" t="inlineStr">
        <is>
          <t>例：既存顧客1社の在庫最適化、社内データでのRAG検証、構築中サービスの問い合わせ対応</t>
        </is>
      </c>
      <c r="G114" s="18" t="inlineStr">
        <is>
          <t>既存データが存在する電脳工場で価値仮説とデータ可用性を確認し、EDIFAS等の周辺データ接続可能性を評価。</t>
        </is>
      </c>
      <c r="H114" s="15" t="inlineStr">
        <is>
          <t>Text（長い回答）</t>
        </is>
      </c>
      <c r="I114" s="15" t="inlineStr"/>
      <c r="J114" s="15" t="inlineStr">
        <is>
          <t>PoCTarget</t>
        </is>
      </c>
      <c r="K114" s="15">
        <f>IF($B114="","",IF($C114="必須",IF(LEN(TRIM($E114))&gt;0,"OK","未入力"),IF(LEN(TRIM($E114))&gt;0,"入力済","任意")))</f>
        <v/>
      </c>
    </row>
    <row r="115" ht="66" customHeight="1">
      <c r="A115" s="15" t="n">
        <v>10</v>
      </c>
      <c r="B115" s="15" t="inlineStr">
        <is>
          <t>F1002</t>
        </is>
      </c>
      <c r="C115" s="19" t="inlineStr">
        <is>
          <t>任意</t>
        </is>
      </c>
      <c r="D115" s="15" t="inlineStr">
        <is>
          <t>評価指標・本番化判断基準</t>
        </is>
      </c>
      <c r="E115" s="17" t="inlineStr"/>
      <c r="F115" s="15" t="inlineStr">
        <is>
          <t>例：回答精度80%以上、検索根拠提示、処理時間、ユーザー評価、業務時間削減、コスト上限</t>
        </is>
      </c>
      <c r="G115" s="18" t="inlineStr">
        <is>
          <t>回答精度、予測精度、業務時間削減、在庫/納期KPI改善、レスポンス、コスト、ユーザー評価。</t>
        </is>
      </c>
      <c r="H115" s="15" t="inlineStr">
        <is>
          <t>Text（長い回答）</t>
        </is>
      </c>
      <c r="I115" s="15" t="inlineStr"/>
      <c r="J115" s="15" t="inlineStr">
        <is>
          <t>PoCEvaluationCriteria</t>
        </is>
      </c>
      <c r="K115" s="15">
        <f>IF($B115="","",IF($C115="必須",IF(LEN(TRIM($E115))&gt;0,"OK","未入力"),IF(LEN(TRIM($E115))&gt;0,"入力済","任意")))</f>
        <v/>
      </c>
    </row>
    <row r="116" ht="34" customHeight="1">
      <c r="A116" s="15" t="n">
        <v>10</v>
      </c>
      <c r="B116" s="15" t="inlineStr">
        <is>
          <t>F1003</t>
        </is>
      </c>
      <c r="C116" s="19" t="inlineStr">
        <is>
          <t>任意</t>
        </is>
      </c>
      <c r="D116" s="15" t="inlineStr">
        <is>
          <t>希望スケジュール</t>
        </is>
      </c>
      <c r="E116" s="17" t="inlineStr"/>
      <c r="F116" s="15" t="inlineStr">
        <is>
          <t>現時点の希望を選択してください。</t>
        </is>
      </c>
      <c r="G116" s="18" t="inlineStr">
        <is>
          <t>3ヶ月以内</t>
        </is>
      </c>
      <c r="H116" s="15" t="inlineStr">
        <is>
          <t>Choice（単一選択）</t>
        </is>
      </c>
      <c r="I116" s="15" t="inlineStr">
        <is>
          <t>1ヶ月以内;3ヶ月以内;6ヶ月以内;FY内;未定</t>
        </is>
      </c>
      <c r="J116" s="15" t="inlineStr">
        <is>
          <t>DesiredTimeline</t>
        </is>
      </c>
      <c r="K116" s="15">
        <f>IF($B116="","",IF($C116="必須",IF(LEN(TRIM($E116))&gt;0,"OK","未入力"),IF(LEN(TRIM($E116))&gt;0,"入力済","任意")))</f>
        <v/>
      </c>
    </row>
    <row r="117" ht="66" customHeight="1">
      <c r="A117" s="15" t="n">
        <v>10</v>
      </c>
      <c r="B117" s="15" t="inlineStr">
        <is>
          <t>F1004</t>
        </is>
      </c>
      <c r="C117" s="19" t="inlineStr">
        <is>
          <t>任意</t>
        </is>
      </c>
      <c r="D117" s="15" t="inlineStr">
        <is>
          <t>意思決定者・関係者</t>
        </is>
      </c>
      <c r="E117" s="17" t="inlineStr"/>
      <c r="F117" s="15" t="inlineStr">
        <is>
          <t>例：CEO、CTO、プロダクト責任者、開発責任者、営業責任者、顧客代表</t>
        </is>
      </c>
      <c r="G117" s="18" t="inlineStr">
        <is>
          <t>事業責任者、CTO、プロダクト責任者、開発責任者、データ責任者、営業責任者。</t>
        </is>
      </c>
      <c r="H117" s="15" t="inlineStr">
        <is>
          <t>Text（長い回答）</t>
        </is>
      </c>
      <c r="I117" s="15" t="inlineStr"/>
      <c r="J117" s="15" t="inlineStr">
        <is>
          <t>DecisionMakers</t>
        </is>
      </c>
      <c r="K117" s="15">
        <f>IF($B117="","",IF($C117="必須",IF(LEN(TRIM($E117))&gt;0,"OK","未入力"),IF(LEN(TRIM($E117))&gt;0,"入力済","任意")))</f>
        <v/>
      </c>
    </row>
    <row r="118" ht="66" customHeight="1">
      <c r="A118" s="15" t="n">
        <v>10</v>
      </c>
      <c r="B118" s="15" t="inlineStr">
        <is>
          <t>F1005</t>
        </is>
      </c>
      <c r="C118" s="19" t="inlineStr">
        <is>
          <t>任意</t>
        </is>
      </c>
      <c r="D118" s="15" t="inlineStr">
        <is>
          <t>Oracleへの期待・相談事項</t>
        </is>
      </c>
      <c r="E118" s="17" t="inlineStr"/>
      <c r="F118" s="15" t="inlineStr">
        <is>
          <t>AI AssessにあたりOracleへ事前に共有したい事項、制約、期待値、質問を記入してください。</t>
        </is>
      </c>
      <c r="G118" s="18" t="inlineStr"/>
      <c r="H118" s="15" t="inlineStr">
        <is>
          <t>Text（長い回答）</t>
        </is>
      </c>
      <c r="I118" s="15" t="inlineStr"/>
      <c r="J118" s="15" t="inlineStr">
        <is>
          <t>OracleExpectations</t>
        </is>
      </c>
      <c r="K118" s="15">
        <f>IF($B118="","",IF($C118="必須",IF(LEN(TRIM($E118))&gt;0,"OK","未入力"),IF(LEN(TRIM($E118))&gt;0,"入力済","任意")))</f>
        <v/>
      </c>
    </row>
    <row r="119" ht="66" customHeight="1">
      <c r="A119" s="15" t="n">
        <v>10</v>
      </c>
      <c r="B119" s="15" t="inlineStr">
        <is>
          <t>F1006</t>
        </is>
      </c>
      <c r="C119" s="19" t="inlineStr">
        <is>
          <t>任意</t>
        </is>
      </c>
      <c r="D119" s="15" t="inlineStr">
        <is>
          <t>アセスメント後に希望する次アクション</t>
        </is>
      </c>
      <c r="E119" s="17" t="inlineStr"/>
      <c r="F119" s="15" t="inlineStr">
        <is>
          <t>複数選択可。</t>
        </is>
      </c>
      <c r="G119" s="18" t="inlineStr">
        <is>
          <t>AI Use Case Assessment実施;RAG/Agent PoC;AI Database検証;セキュリティ相談</t>
        </is>
      </c>
      <c r="H119" s="15" t="inlineStr">
        <is>
          <t>Choice（複数選択）</t>
        </is>
      </c>
      <c r="I119" s="15" t="inlineStr">
        <is>
          <t>AI Use Case Assessment実施;RAG/Agent PoC;AI Database検証;OCI移行/コスト相談;セキュリティ相談;共同GTM/Marketplace検討;未定</t>
        </is>
      </c>
      <c r="J119" s="15" t="inlineStr">
        <is>
          <t>NextAction</t>
        </is>
      </c>
      <c r="K119" s="15">
        <f>IF($B119="","",IF($C119="必須",IF(LEN(TRIM($E119))&gt;0,"OK","未入力"),IF(LEN(TRIM($E119))&gt;0,"入力済","任意")))</f>
        <v/>
      </c>
    </row>
    <row r="120" ht="66" customHeight="1">
      <c r="A120" s="15" t="n">
        <v>10</v>
      </c>
      <c r="B120" s="15" t="inlineStr">
        <is>
          <t>F1007</t>
        </is>
      </c>
      <c r="C120" s="19" t="inlineStr">
        <is>
          <t>任意</t>
        </is>
      </c>
      <c r="D120" s="15" t="inlineStr">
        <is>
          <t>提出予定資料</t>
        </is>
      </c>
      <c r="E120" s="17" t="inlineStr"/>
      <c r="F120" s="15" t="inlineStr">
        <is>
          <t>複数選択可。ファイルは次の設問でアップロードしてください。</t>
        </is>
      </c>
      <c r="G120" s="18" t="inlineStr">
        <is>
          <t>製品紹介資料;画面キャプチャ;API仕様;データ項目一覧;業務フロー;システム構成図;FAQ;マニュアル;サンプルデータ</t>
        </is>
      </c>
      <c r="H120" s="15" t="inlineStr">
        <is>
          <t>Choice（複数選択）</t>
        </is>
      </c>
      <c r="I120" s="15" t="inlineStr">
        <is>
          <t>製品紹介資料;画面キャプチャ;API仕様;データ項目一覧;業務フロー;システム構成図;FAQ;マニュアル;サンプルデータ;なし/後日</t>
        </is>
      </c>
      <c r="J120" s="15" t="inlineStr">
        <is>
          <t>PlannedAttachments</t>
        </is>
      </c>
      <c r="K120" s="15">
        <f>IF($B120="","",IF($C120="必須",IF(LEN(TRIM($E120))&gt;0,"OK","未入力"),IF(LEN(TRIM($E120))&gt;0,"入力済","任意")))</f>
        <v/>
      </c>
    </row>
    <row r="121" ht="66" customHeight="1">
      <c r="A121" s="15" t="n">
        <v>10</v>
      </c>
      <c r="B121" s="15" t="inlineStr">
        <is>
          <t>F1008</t>
        </is>
      </c>
      <c r="C121" s="19" t="inlineStr">
        <is>
          <t>任意</t>
        </is>
      </c>
      <c r="D121" s="15" t="inlineStr">
        <is>
          <t>関連資料アップロード</t>
        </is>
      </c>
      <c r="E121" s="17" t="inlineStr"/>
      <c r="F121" s="15" t="inlineStr">
        <is>
          <t>個人情報、顧客機密データ、本番データのアップロードは、貴社とOracle担当者の合意範囲・手順に従ってください。</t>
        </is>
      </c>
      <c r="G121" s="18" t="inlineStr"/>
      <c r="H121" s="15" t="inlineStr">
        <is>
          <t>File upload</t>
        </is>
      </c>
      <c r="I121" s="15" t="inlineStr">
        <is>
          <t>最大10ファイルを想定。Microsoft Forms側で上限を設定してください。</t>
        </is>
      </c>
      <c r="J121" s="15" t="inlineStr">
        <is>
          <t>AttachmentLinks</t>
        </is>
      </c>
      <c r="K121" s="15">
        <f>IF($B121="","",IF($C121="必須",IF(LEN(TRIM($E121))&gt;0,"OK","未入力"),IF(LEN(TRIM($E121))&gt;0,"入力済","任意")))</f>
        <v/>
      </c>
    </row>
    <row r="122" ht="66" customHeight="1">
      <c r="A122" s="15" t="n">
        <v>10</v>
      </c>
      <c r="B122" s="15" t="inlineStr">
        <is>
          <t>F1009</t>
        </is>
      </c>
      <c r="C122" s="19" t="inlineStr">
        <is>
          <t>任意</t>
        </is>
      </c>
      <c r="D122" s="15" t="inlineStr">
        <is>
          <t>その他補足</t>
        </is>
      </c>
      <c r="E122" s="17" t="inlineStr"/>
      <c r="F122" s="15" t="inlineStr">
        <is>
          <t>制約、期待値、質問、追加製品、3件を超えるプロジェクト/ユースケースなどを記入してください。</t>
        </is>
      </c>
      <c r="G122" s="18" t="inlineStr">
        <is>
          <t>3プロジェクトの事業KPI、優先課題、意思決定者、リリース時期、データ利用許諾、連携図、PoC評価指標を初回ヒアリングで確定する。</t>
        </is>
      </c>
      <c r="H122" s="15" t="inlineStr">
        <is>
          <t>Text（長い回答）</t>
        </is>
      </c>
      <c r="I122" s="15" t="inlineStr"/>
      <c r="J122" s="15" t="inlineStr">
        <is>
          <t>AdditionalNotes</t>
        </is>
      </c>
      <c r="K122" s="15">
        <f>IF($B122="","",IF($C122="必須",IF(LEN(TRIM($E122))&gt;0,"OK","未入力"),IF(LEN(TRIM($E122))&gt;0,"入力済","任意")))</f>
        <v/>
      </c>
    </row>
    <row r="123" ht="34" customHeight="1">
      <c r="A123" s="15" t="n">
        <v>10</v>
      </c>
      <c r="B123" s="15" t="inlineStr">
        <is>
          <t>F1010</t>
        </is>
      </c>
      <c r="C123" s="16" t="inlineStr">
        <is>
          <t>必須</t>
        </is>
      </c>
      <c r="D123" s="15" t="inlineStr">
        <is>
          <t>入力内容のOracle担当者・事務局への共有可否</t>
        </is>
      </c>
      <c r="E123" s="17" t="inlineStr"/>
      <c r="F123" s="15" t="inlineStr">
        <is>
          <t>本回答をOracle担当者・アセスメント担当・必要な事務局メンバーに共有してよいか選択してください。</t>
        </is>
      </c>
      <c r="G123" s="18" t="inlineStr"/>
      <c r="H123" s="15" t="inlineStr">
        <is>
          <t>Choice（単一選択）</t>
        </is>
      </c>
      <c r="I123" s="15" t="inlineStr">
        <is>
          <t>共有可;個別範囲を相談;共有不可</t>
        </is>
      </c>
      <c r="J123" s="15" t="inlineStr">
        <is>
          <t>SharePermission</t>
        </is>
      </c>
      <c r="K123" s="15">
        <f>IF($B123="","",IF($C123="必須",IF(LEN(TRIM($E123))&gt;0,"OK","未入力"),IF(LEN(TRIM($E123))&gt;0,"入力済","任意")))</f>
        <v/>
      </c>
    </row>
  </sheetData>
  <autoFilter ref="A5:K123"/>
  <mergeCells count="14">
    <mergeCell ref="A6:K6"/>
    <mergeCell ref="A97:K97"/>
    <mergeCell ref="A34:K34"/>
    <mergeCell ref="A3:K3"/>
    <mergeCell ref="A43:K43"/>
    <mergeCell ref="A113:K113"/>
    <mergeCell ref="A2:K2"/>
    <mergeCell ref="A19:K19"/>
    <mergeCell ref="A52:K52"/>
    <mergeCell ref="A1:K1"/>
    <mergeCell ref="A75:K75"/>
    <mergeCell ref="A9:K9"/>
    <mergeCell ref="A67:K67"/>
    <mergeCell ref="A106:K106"/>
  </mergeCells>
  <conditionalFormatting sqref="E6:E123">
    <cfRule type="expression" priority="1" dxfId="0">
      <formula>AND($C6="必須",$E6="")</formula>
    </cfRule>
  </conditionalFormatting>
  <conditionalFormatting sqref="K6:K123">
    <cfRule type="cellIs" priority="2" operator="equal" dxfId="0">
      <formula>"未入力"</formula>
    </cfRule>
    <cfRule type="cellIs" priority="3" operator="equal" dxfId="1">
      <formula>"OK"</formula>
    </cfRule>
  </conditionalFormatting>
  <dataValidations count="48">
    <dataValidation sqref="E7" showDropDown="0" showInputMessage="0" showErrorMessage="0" allowBlank="1" promptTitle="入力候補" prompt="候補から選択してください。複数選択の場合は「;」区切りで入力できます。" type="list">
      <formula1>'選択肢一覧'!$A$6:$A$6</formula1>
    </dataValidation>
    <dataValidation sqref="E8" showDropDown="0" showInputMessage="0" showErrorMessage="0" allowBlank="1" promptTitle="入力候補" prompt="候補から選択してください。複数選択の場合は「;」区切りで入力できます。" type="list">
      <formula1>'選択肢一覧'!$B$6:$B$6</formula1>
    </dataValidation>
    <dataValidation sqref="E14" showDropDown="0" showInputMessage="0" showErrorMessage="0" allowBlank="1" promptTitle="入力候補" prompt="候補から選択してください。複数選択の場合は「;」区切りで入力できます。" type="list">
      <formula1>'選択肢一覧'!$C$6:$C$16</formula1>
    </dataValidation>
    <dataValidation sqref="E20" showDropDown="0" showInputMessage="0" showErrorMessage="0" allowBlank="1" promptTitle="入力候補" prompt="候補から選択してください。複数選択の場合は「;」区切りで入力できます。" type="list">
      <formula1>'選択肢一覧'!$D$6:$D$12</formula1>
    </dataValidation>
    <dataValidation sqref="E21" showDropDown="0" showInputMessage="0" showErrorMessage="0" allowBlank="1" promptTitle="入力候補" prompt="候補から選択してください。複数選択の場合は「;」区切りで入力できます。" type="list">
      <formula1>'選択肢一覧'!$E$6:$E$9</formula1>
    </dataValidation>
    <dataValidation sqref="E23" showDropDown="0" showInputMessage="0" showErrorMessage="0" allowBlank="1" promptTitle="入力候補" prompt="候補から選択してください。複数選択の場合は「;」区切りで入力できます。" type="list">
      <formula1>'選択肢一覧'!$F$6:$F$11</formula1>
    </dataValidation>
    <dataValidation sqref="E24" showDropDown="0" showInputMessage="0" showErrorMessage="0" allowBlank="1" promptTitle="入力候補" prompt="候補から選択してください。複数選択の場合は「;」区切りで入力できます。" type="list">
      <formula1>'選択肢一覧'!$G$6:$G$9</formula1>
    </dataValidation>
    <dataValidation sqref="E27" showDropDown="0" showInputMessage="0" showErrorMessage="0" allowBlank="1" promptTitle="入力候補" prompt="候補から選択してください。複数選択の場合は「;」区切りで入力できます。" type="list">
      <formula1>'選択肢一覧'!$H$6:$H$11</formula1>
    </dataValidation>
    <dataValidation sqref="E28" showDropDown="0" showInputMessage="0" showErrorMessage="0" allowBlank="1" promptTitle="入力候補" prompt="候補から選択してください。複数選択の場合は「;」区切りで入力できます。" type="list">
      <formula1>'選択肢一覧'!$I$6:$I$9</formula1>
    </dataValidation>
    <dataValidation sqref="E31" showDropDown="0" showInputMessage="0" showErrorMessage="0" allowBlank="1" promptTitle="入力候補" prompt="候補から選択してください。複数選択の場合は「;」区切りで入力できます。" type="list">
      <formula1>'選択肢一覧'!$J$6:$J$11</formula1>
    </dataValidation>
    <dataValidation sqref="E32" showDropDown="0" showInputMessage="0" showErrorMessage="0" allowBlank="1" promptTitle="入力候補" prompt="候補から選択してください。複数選択の場合は「;」区切りで入力できます。" type="list">
      <formula1>'選択肢一覧'!$K$6:$K$9</formula1>
    </dataValidation>
    <dataValidation sqref="E36" showDropDown="0" showInputMessage="0" showErrorMessage="0" allowBlank="1" promptTitle="入力候補" prompt="候補から選択してください。複数選択の場合は「;」区切りで入力できます。" type="list">
      <formula1>'選択肢一覧'!$L$6:$L$13</formula1>
    </dataValidation>
    <dataValidation sqref="E44" showDropDown="0" showInputMessage="0" showErrorMessage="0" allowBlank="1" promptTitle="入力候補" prompt="候補から選択してください。複数選択の場合は「;」区切りで入力できます。" type="list">
      <formula1>'選択肢一覧'!$M$6:$M$12</formula1>
    </dataValidation>
    <dataValidation sqref="E45" showDropDown="0" showInputMessage="0" showErrorMessage="0" allowBlank="1" promptTitle="入力候補" prompt="候補から選択してください。複数選択の場合は「;」区切りで入力できます。" type="list">
      <formula1>'選択肢一覧'!$N$6:$N$14</formula1>
    </dataValidation>
    <dataValidation sqref="E46" showDropDown="0" showInputMessage="0" showErrorMessage="0" allowBlank="1" promptTitle="入力候補" prompt="候補から選択してください。複数選択の場合は「;」区切りで入力できます。" type="list">
      <formula1>'選択肢一覧'!$O$6:$O$13</formula1>
    </dataValidation>
    <dataValidation sqref="E48" showDropDown="0" showInputMessage="0" showErrorMessage="0" allowBlank="1" promptTitle="入力候補" prompt="候補から選択してください。複数選択の場合は「;」区切りで入力できます。" type="list">
      <formula1>'選択肢一覧'!$P$6:$P$13</formula1>
    </dataValidation>
    <dataValidation sqref="E54" showDropDown="0" showInputMessage="0" showErrorMessage="0" allowBlank="1" promptTitle="入力候補" prompt="候補から選択してください。複数選択の場合は「;」区切りで入力できます。" type="list">
      <formula1>'選択肢一覧'!$Q$6:$Q$14</formula1>
    </dataValidation>
    <dataValidation sqref="E55" showDropDown="0" showInputMessage="0" showErrorMessage="0" allowBlank="1" promptTitle="入力候補" prompt="候補から選択してください。複数選択の場合は「;」区切りで入力できます。" type="list">
      <formula1>'選択肢一覧'!$R$6:$R$13</formula1>
    </dataValidation>
    <dataValidation sqref="E56" showDropDown="0" showInputMessage="0" showErrorMessage="0" allowBlank="1" promptTitle="入力候補" prompt="候補から選択してください。複数選択の場合は「;」区切りで入力できます。" type="list">
      <formula1>'選択肢一覧'!$S$6:$S$14</formula1>
    </dataValidation>
    <dataValidation sqref="E61" showDropDown="0" showInputMessage="0" showErrorMessage="0" allowBlank="1" promptTitle="入力候補" prompt="候補から選択してください。複数選択の場合は「;」区切りで入力できます。" type="list">
      <formula1>'選択肢一覧'!$T$6:$T$10</formula1>
    </dataValidation>
    <dataValidation sqref="E62" showDropDown="0" showInputMessage="0" showErrorMessage="0" allowBlank="1" promptTitle="入力候補" prompt="候補から選択してください。複数選択の場合は「;」区切りで入力できます。" type="list">
      <formula1>'選択肢一覧'!$U$6:$U$10</formula1>
    </dataValidation>
    <dataValidation sqref="E63" showDropDown="0" showInputMessage="0" showErrorMessage="0" allowBlank="1" promptTitle="入力候補" prompt="候補から選択してください。複数選択の場合は「;」区切りで入力できます。" type="list">
      <formula1>'選択肢一覧'!$V$6:$V$10</formula1>
    </dataValidation>
    <dataValidation sqref="E64" showDropDown="0" showInputMessage="0" showErrorMessage="0" allowBlank="1" promptTitle="入力候補" prompt="候補から選択してください。複数選択の場合は「;」区切りで入力できます。" type="list">
      <formula1>'選択肢一覧'!$W$6:$W$10</formula1>
    </dataValidation>
    <dataValidation sqref="E65" showDropDown="0" showInputMessage="0" showErrorMessage="0" allowBlank="1" promptTitle="入力候補" prompt="候補から選択してください。複数選択の場合は「;」区切りで入力できます。" type="list">
      <formula1>'選択肢一覧'!$X$6:$X$10</formula1>
    </dataValidation>
    <dataValidation sqref="E66" showDropDown="0" showInputMessage="0" showErrorMessage="0" allowBlank="1" promptTitle="入力候補" prompt="候補から選択してください。複数選択の場合は「;」区切りで入力できます。" type="list">
      <formula1>'選択肢一覧'!$Y$6:$Y$10</formula1>
    </dataValidation>
    <dataValidation sqref="E68" showDropDown="0" showInputMessage="0" showErrorMessage="0" allowBlank="1" promptTitle="入力候補" prompt="候補から選択してください。複数選択の場合は「;」区切りで入力できます。" type="list">
      <formula1>'選択肢一覧'!$Z$6:$Z$13</formula1>
    </dataValidation>
    <dataValidation sqref="E70" showDropDown="0" showInputMessage="0" showErrorMessage="0" allowBlank="1" promptTitle="入力候補" prompt="候補から選択してください。複数選択の場合は「;」区切りで入力できます。" type="list">
      <formula1>'選択肢一覧'!$AA$6:$AA$17</formula1>
    </dataValidation>
    <dataValidation sqref="E71" showDropDown="0" showInputMessage="0" showErrorMessage="0" allowBlank="1" promptTitle="入力候補" prompt="候補から選択してください。複数選択の場合は「;」区切りで入力できます。" type="list">
      <formula1>'選択肢一覧'!$AB$6:$AB$11</formula1>
    </dataValidation>
    <dataValidation sqref="E74" showDropDown="0" showInputMessage="0" showErrorMessage="0" allowBlank="1" promptTitle="入力候補" prompt="候補から選択してください。複数選択の場合は「;」区切りで入力できます。" type="list">
      <formula1>'選択肢一覧'!$AC$6:$AC$13</formula1>
    </dataValidation>
    <dataValidation sqref="E77" showDropDown="0" showInputMessage="0" showErrorMessage="0" allowBlank="1" promptTitle="入力候補" prompt="候補から選択してください。複数選択の場合は「;」区切りで入力できます。" type="list">
      <formula1>'選択肢一覧'!$AD$6:$AD$14</formula1>
    </dataValidation>
    <dataValidation sqref="E78" showDropDown="0" showInputMessage="0" showErrorMessage="0" allowBlank="1" promptTitle="入力候補" prompt="候補から選択してください。複数選択の場合は「;」区切りで入力できます。" type="list">
      <formula1>'選択肢一覧'!$AE$6:$AE$9</formula1>
    </dataValidation>
    <dataValidation sqref="E81" showDropDown="0" showInputMessage="0" showErrorMessage="0" allowBlank="1" promptTitle="入力候補" prompt="候補から選択してください。複数選択の場合は「;」区切りで入力できます。" type="list">
      <formula1>'選択肢一覧'!$AF$6:$AF$18</formula1>
    </dataValidation>
    <dataValidation sqref="E84" showDropDown="0" showInputMessage="0" showErrorMessage="0" allowBlank="1" promptTitle="入力候補" prompt="候補から選択してください。複数選択の場合は「;」区切りで入力できます。" type="list">
      <formula1>'選択肢一覧'!$AG$6:$AG$14</formula1>
    </dataValidation>
    <dataValidation sqref="E85" showDropDown="0" showInputMessage="0" showErrorMessage="0" allowBlank="1" promptTitle="入力候補" prompt="候補から選択してください。複数選択の場合は「;」区切りで入力できます。" type="list">
      <formula1>'選択肢一覧'!$AH$6:$AH$9</formula1>
    </dataValidation>
    <dataValidation sqref="E88" showDropDown="0" showInputMessage="0" showErrorMessage="0" allowBlank="1" promptTitle="入力候補" prompt="候補から選択してください。複数選択の場合は「;」区切りで入力できます。" type="list">
      <formula1>'選択肢一覧'!$AI$6:$AI$18</formula1>
    </dataValidation>
    <dataValidation sqref="E91" showDropDown="0" showInputMessage="0" showErrorMessage="0" allowBlank="1" promptTitle="入力候補" prompt="候補から選択してください。複数選択の場合は「;」区切りで入力できます。" type="list">
      <formula1>'選択肢一覧'!$AJ$6:$AJ$14</formula1>
    </dataValidation>
    <dataValidation sqref="E92" showDropDown="0" showInputMessage="0" showErrorMessage="0" allowBlank="1" promptTitle="入力候補" prompt="候補から選択してください。複数選択の場合は「;」区切りで入力できます。" type="list">
      <formula1>'選択肢一覧'!$AK$6:$AK$9</formula1>
    </dataValidation>
    <dataValidation sqref="E95" showDropDown="0" showInputMessage="0" showErrorMessage="0" allowBlank="1" promptTitle="入力候補" prompt="候補から選択してください。複数選択の場合は「;」区切りで入力できます。" type="list">
      <formula1>'選択肢一覧'!$AL$6:$AL$18</formula1>
    </dataValidation>
    <dataValidation sqref="E99" showDropDown="0" showInputMessage="0" showErrorMessage="0" allowBlank="1" promptTitle="入力候補" prompt="候補から選択してください。複数選択の場合は「;」区切りで入力できます。" type="list">
      <formula1>'選択肢一覧'!$AM$6:$AM$13</formula1>
    </dataValidation>
    <dataValidation sqref="E100" showDropDown="0" showInputMessage="0" showErrorMessage="0" allowBlank="1" promptTitle="入力候補" prompt="候補から選択してください。複数選択の場合は「;」区切りで入力できます。" type="list">
      <formula1>'選択肢一覧'!$AN$6:$AN$14</formula1>
    </dataValidation>
    <dataValidation sqref="E102" showDropDown="0" showInputMessage="0" showErrorMessage="0" allowBlank="1" promptTitle="入力候補" prompt="候補から選択してください。複数選択の場合は「;」区切りで入力できます。" type="list">
      <formula1>'選択肢一覧'!$AO$6:$AO$16</formula1>
    </dataValidation>
    <dataValidation sqref="E107" showDropDown="0" showInputMessage="0" showErrorMessage="0" allowBlank="1" promptTitle="入力候補" prompt="候補から選択してください。複数選択の場合は「;」区切りで入力できます。" type="list">
      <formula1>'選択肢一覧'!$AP$6:$AP$15</formula1>
    </dataValidation>
    <dataValidation sqref="E111" showDropDown="0" showInputMessage="0" showErrorMessage="0" allowBlank="1" promptTitle="入力候補" prompt="候補から選択してください。複数選択の場合は「;」区切りで入力できます。" type="list">
      <formula1>'選択肢一覧'!$AQ$6:$AQ$11</formula1>
    </dataValidation>
    <dataValidation sqref="E112" showDropDown="0" showInputMessage="0" showErrorMessage="0" allowBlank="1" promptTitle="入力候補" prompt="候補から選択してください。複数選択の場合は「;」区切りで入力できます。" type="list">
      <formula1>'選択肢一覧'!$AR$6:$AR$10</formula1>
    </dataValidation>
    <dataValidation sqref="E116" showDropDown="0" showInputMessage="0" showErrorMessage="0" allowBlank="1" promptTitle="入力候補" prompt="候補から選択してください。複数選択の場合は「;」区切りで入力できます。" type="list">
      <formula1>'選択肢一覧'!$AS$6:$AS$10</formula1>
    </dataValidation>
    <dataValidation sqref="E119" showDropDown="0" showInputMessage="0" showErrorMessage="0" allowBlank="1" promptTitle="入力候補" prompt="候補から選択してください。複数選択の場合は「;」区切りで入力できます。" type="list">
      <formula1>'選択肢一覧'!$AT$6:$AT$12</formula1>
    </dataValidation>
    <dataValidation sqref="E120" showDropDown="0" showInputMessage="0" showErrorMessage="0" allowBlank="1" promptTitle="入力候補" prompt="候補から選択してください。複数選択の場合は「;」区切りで入力できます。" type="list">
      <formula1>'選択肢一覧'!$AU$6:$AU$15</formula1>
    </dataValidation>
    <dataValidation sqref="E123" showDropDown="0" showInputMessage="0" showErrorMessage="0" allowBlank="1" promptTitle="入力候補" prompt="候補から選択してください。複数選択の場合は「;」区切りで入力できます。" type="list">
      <formula1>'選択肢一覧'!$AV$6:$AV$8</formula1>
    </dataValidation>
  </dataValidations>
  <pageMargins left="0.3" right="0.3" top="0.5" bottom="0.5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12" customWidth="1" min="4" max="4"/>
    <col width="44" customWidth="1" min="5" max="5"/>
    <col width="30" customWidth="1" min="6" max="6"/>
    <col width="10" customWidth="1" min="7" max="7"/>
    <col width="60" customWidth="1" min="8" max="8"/>
  </cols>
  <sheetData>
    <row r="1" ht="34" customHeight="1">
      <c r="A1" s="1" t="inlineStr">
        <is>
          <t>登録用_縦持ち</t>
        </is>
      </c>
    </row>
    <row r="2" ht="34" customHeight="1">
      <c r="A2" s="2" t="inlineStr">
        <is>
          <t>「入力フォーム」シートの回答を質問ID単位で参照する登録用テーブルです。SharePoint Listや後続処理への取り込みに利用できます。</t>
        </is>
      </c>
    </row>
    <row r="4">
      <c r="A4" s="3" t="inlineStr">
        <is>
          <t>表示順</t>
        </is>
      </c>
      <c r="B4" s="3" t="inlineStr">
        <is>
          <t>セクションNo</t>
        </is>
      </c>
      <c r="C4" s="3" t="inlineStr">
        <is>
          <t>セクション名</t>
        </is>
      </c>
      <c r="D4" s="3" t="inlineStr">
        <is>
          <t>質問ID</t>
        </is>
      </c>
      <c r="E4" s="3" t="inlineStr">
        <is>
          <t>設問</t>
        </is>
      </c>
      <c r="F4" s="3" t="inlineStr">
        <is>
          <t>SharePoint列名</t>
        </is>
      </c>
      <c r="G4" s="3" t="inlineStr">
        <is>
          <t>必須</t>
        </is>
      </c>
      <c r="H4" s="3" t="inlineStr">
        <is>
          <t>回答値</t>
        </is>
      </c>
    </row>
    <row r="5" ht="28" customHeight="1">
      <c r="A5" s="15" t="n">
        <v>1</v>
      </c>
      <c r="B5" s="15" t="n">
        <v>0</v>
      </c>
      <c r="C5" s="15" t="inlineStr">
        <is>
          <t>入力前の確認</t>
        </is>
      </c>
      <c r="D5" s="15" t="inlineStr">
        <is>
          <t>F001</t>
        </is>
      </c>
      <c r="E5" s="15" t="inlineStr">
        <is>
          <t>情報利用目的を確認しましたか？</t>
        </is>
      </c>
      <c r="F5" s="15" t="inlineStr">
        <is>
          <t>ConsentPurpose</t>
        </is>
      </c>
      <c r="G5" s="15" t="inlineStr">
        <is>
          <t>必須</t>
        </is>
      </c>
      <c r="H5" s="20">
        <f>'入力フォーム'!E7</f>
        <v/>
      </c>
    </row>
    <row r="6" ht="28" customHeight="1">
      <c r="A6" s="15" t="n">
        <v>2</v>
      </c>
      <c r="B6" s="15" t="n">
        <v>0</v>
      </c>
      <c r="C6" s="15" t="inlineStr">
        <is>
          <t>入力前の確認</t>
        </is>
      </c>
      <c r="D6" s="15" t="inlineStr">
        <is>
          <t>F002</t>
        </is>
      </c>
      <c r="E6" s="15" t="inlineStr">
        <is>
          <t>本番データ・顧客機密データ・個人情報をアップロードしないことを確認しましたか？</t>
        </is>
      </c>
      <c r="F6" s="15" t="inlineStr">
        <is>
          <t>ConsentNoSensitiveUpload</t>
        </is>
      </c>
      <c r="G6" s="15" t="inlineStr">
        <is>
          <t>必須</t>
        </is>
      </c>
      <c r="H6" s="20">
        <f>'入力フォーム'!E8</f>
        <v/>
      </c>
    </row>
    <row r="7" ht="28" customHeight="1">
      <c r="A7" s="15" t="n">
        <v>3</v>
      </c>
      <c r="B7" s="15" t="n">
        <v>1</v>
      </c>
      <c r="C7" s="15" t="inlineStr">
        <is>
          <t>会社・回答者情報</t>
        </is>
      </c>
      <c r="D7" s="15" t="inlineStr">
        <is>
          <t>F101</t>
        </is>
      </c>
      <c r="E7" s="15" t="inlineStr">
        <is>
          <t>会社名</t>
        </is>
      </c>
      <c r="F7" s="15" t="inlineStr">
        <is>
          <t>CompanyName</t>
        </is>
      </c>
      <c r="G7" s="15" t="inlineStr">
        <is>
          <t>必須</t>
        </is>
      </c>
      <c r="H7" s="20">
        <f>'入力フォーム'!E10</f>
        <v/>
      </c>
    </row>
    <row r="8" ht="28" customHeight="1">
      <c r="A8" s="15" t="n">
        <v>4</v>
      </c>
      <c r="B8" s="15" t="n">
        <v>1</v>
      </c>
      <c r="C8" s="15" t="inlineStr">
        <is>
          <t>会社・回答者情報</t>
        </is>
      </c>
      <c r="D8" s="15" t="inlineStr">
        <is>
          <t>F102</t>
        </is>
      </c>
      <c r="E8" s="15" t="inlineStr">
        <is>
          <t>会社URL</t>
        </is>
      </c>
      <c r="F8" s="15" t="inlineStr">
        <is>
          <t>CompanyURL</t>
        </is>
      </c>
      <c r="G8" s="15" t="inlineStr">
        <is>
          <t>任意</t>
        </is>
      </c>
      <c r="H8" s="20">
        <f>'入力フォーム'!E11</f>
        <v/>
      </c>
    </row>
    <row r="9" ht="28" customHeight="1">
      <c r="A9" s="15" t="n">
        <v>5</v>
      </c>
      <c r="B9" s="15" t="n">
        <v>1</v>
      </c>
      <c r="C9" s="15" t="inlineStr">
        <is>
          <t>会社・回答者情報</t>
        </is>
      </c>
      <c r="D9" s="15" t="inlineStr">
        <is>
          <t>F103</t>
        </is>
      </c>
      <c r="E9" s="15" t="inlineStr">
        <is>
          <t>事業概要</t>
        </is>
      </c>
      <c r="F9" s="15" t="inlineStr">
        <is>
          <t>BusinessOverview</t>
        </is>
      </c>
      <c r="G9" s="15" t="inlineStr">
        <is>
          <t>必須</t>
        </is>
      </c>
      <c r="H9" s="20">
        <f>'入力フォーム'!E12</f>
        <v/>
      </c>
    </row>
    <row r="10" ht="28" customHeight="1">
      <c r="A10" s="15" t="n">
        <v>6</v>
      </c>
      <c r="B10" s="15" t="n">
        <v>1</v>
      </c>
      <c r="C10" s="15" t="inlineStr">
        <is>
          <t>会社・回答者情報</t>
        </is>
      </c>
      <c r="D10" s="15" t="inlineStr">
        <is>
          <t>F104</t>
        </is>
      </c>
      <c r="E10" s="15" t="inlineStr">
        <is>
          <t>主な顧客像</t>
        </is>
      </c>
      <c r="F10" s="15" t="inlineStr">
        <is>
          <t>MainCustomers</t>
        </is>
      </c>
      <c r="G10" s="15" t="inlineStr">
        <is>
          <t>必須</t>
        </is>
      </c>
      <c r="H10" s="20">
        <f>'入力フォーム'!E13</f>
        <v/>
      </c>
    </row>
    <row r="11" ht="28" customHeight="1">
      <c r="A11" s="15" t="n">
        <v>7</v>
      </c>
      <c r="B11" s="15" t="n">
        <v>1</v>
      </c>
      <c r="C11" s="15" t="inlineStr">
        <is>
          <t>会社・回答者情報</t>
        </is>
      </c>
      <c r="D11" s="15" t="inlineStr">
        <is>
          <t>F105</t>
        </is>
      </c>
      <c r="E11" s="15" t="inlineStr">
        <is>
          <t>対象業種・業態</t>
        </is>
      </c>
      <c r="F11" s="15" t="inlineStr">
        <is>
          <t>IndustrySegments</t>
        </is>
      </c>
      <c r="G11" s="15" t="inlineStr">
        <is>
          <t>任意</t>
        </is>
      </c>
      <c r="H11" s="20">
        <f>'入力フォーム'!E14</f>
        <v/>
      </c>
    </row>
    <row r="12" ht="28" customHeight="1">
      <c r="A12" s="15" t="n">
        <v>8</v>
      </c>
      <c r="B12" s="15" t="n">
        <v>1</v>
      </c>
      <c r="C12" s="15" t="inlineStr">
        <is>
          <t>会社・回答者情報</t>
        </is>
      </c>
      <c r="D12" s="15" t="inlineStr">
        <is>
          <t>F106</t>
        </is>
      </c>
      <c r="E12" s="15" t="inlineStr">
        <is>
          <t>自社の強み・保有IP</t>
        </is>
      </c>
      <c r="F12" s="15" t="inlineStr">
        <is>
          <t>BusinessStrengthIP</t>
        </is>
      </c>
      <c r="G12" s="15" t="inlineStr">
        <is>
          <t>任意</t>
        </is>
      </c>
      <c r="H12" s="20">
        <f>'入力フォーム'!E15</f>
        <v/>
      </c>
    </row>
    <row r="13" ht="28" customHeight="1">
      <c r="A13" s="15" t="n">
        <v>9</v>
      </c>
      <c r="B13" s="15" t="n">
        <v>1</v>
      </c>
      <c r="C13" s="15" t="inlineStr">
        <is>
          <t>会社・回答者情報</t>
        </is>
      </c>
      <c r="D13" s="15" t="inlineStr">
        <is>
          <t>F107</t>
        </is>
      </c>
      <c r="E13" s="15" t="inlineStr">
        <is>
          <t>入力者氏名</t>
        </is>
      </c>
      <c r="F13" s="15" t="inlineStr">
        <is>
          <t>RespondentName</t>
        </is>
      </c>
      <c r="G13" s="15" t="inlineStr">
        <is>
          <t>必須</t>
        </is>
      </c>
      <c r="H13" s="20">
        <f>'入力フォーム'!E16</f>
        <v/>
      </c>
    </row>
    <row r="14" ht="28" customHeight="1">
      <c r="A14" s="15" t="n">
        <v>10</v>
      </c>
      <c r="B14" s="15" t="n">
        <v>1</v>
      </c>
      <c r="C14" s="15" t="inlineStr">
        <is>
          <t>会社・回答者情報</t>
        </is>
      </c>
      <c r="D14" s="15" t="inlineStr">
        <is>
          <t>F108</t>
        </is>
      </c>
      <c r="E14" s="15" t="inlineStr">
        <is>
          <t>入力者メール</t>
        </is>
      </c>
      <c r="F14" s="15" t="inlineStr">
        <is>
          <t>RespondentEmail</t>
        </is>
      </c>
      <c r="G14" s="15" t="inlineStr">
        <is>
          <t>必須</t>
        </is>
      </c>
      <c r="H14" s="20">
        <f>'入力フォーム'!E17</f>
        <v/>
      </c>
    </row>
    <row r="15" ht="28" customHeight="1">
      <c r="A15" s="15" t="n">
        <v>11</v>
      </c>
      <c r="B15" s="15" t="n">
        <v>1</v>
      </c>
      <c r="C15" s="15" t="inlineStr">
        <is>
          <t>会社・回答者情報</t>
        </is>
      </c>
      <c r="D15" s="15" t="inlineStr">
        <is>
          <t>F109</t>
        </is>
      </c>
      <c r="E15" s="15" t="inlineStr">
        <is>
          <t>入力者所属/役職</t>
        </is>
      </c>
      <c r="F15" s="15" t="inlineStr">
        <is>
          <t>RespondentRole</t>
        </is>
      </c>
      <c r="G15" s="15" t="inlineStr">
        <is>
          <t>任意</t>
        </is>
      </c>
      <c r="H15" s="20">
        <f>'入力フォーム'!E18</f>
        <v/>
      </c>
    </row>
    <row r="16" ht="28" customHeight="1">
      <c r="A16" s="15" t="n">
        <v>12</v>
      </c>
      <c r="B16" s="15" t="n">
        <v>2</v>
      </c>
      <c r="C16" s="15" t="inlineStr">
        <is>
          <t>Assessment対象範囲</t>
        </is>
      </c>
      <c r="D16" s="15" t="inlineStr">
        <is>
          <t>F201</t>
        </is>
      </c>
      <c r="E16" s="15" t="inlineStr">
        <is>
          <t>今回のAssessment対象範囲</t>
        </is>
      </c>
      <c r="F16" s="15" t="inlineStr">
        <is>
          <t>AssessmentScope</t>
        </is>
      </c>
      <c r="G16" s="15" t="inlineStr">
        <is>
          <t>必須</t>
        </is>
      </c>
      <c r="H16" s="20">
        <f>'入力フォーム'!E20</f>
        <v/>
      </c>
    </row>
    <row r="17" ht="28" customHeight="1">
      <c r="A17" s="15" t="n">
        <v>13</v>
      </c>
      <c r="B17" s="15" t="n">
        <v>2</v>
      </c>
      <c r="C17" s="15" t="inlineStr">
        <is>
          <t>Assessment対象範囲</t>
        </is>
      </c>
      <c r="D17" s="15" t="inlineStr">
        <is>
          <t>F202</t>
        </is>
      </c>
      <c r="E17" s="15" t="inlineStr">
        <is>
          <t>対象プロジェクト数</t>
        </is>
      </c>
      <c r="F17" s="15" t="inlineStr">
        <is>
          <t>ProjectCount</t>
        </is>
      </c>
      <c r="G17" s="15" t="inlineStr">
        <is>
          <t>任意</t>
        </is>
      </c>
      <c r="H17" s="20">
        <f>'入力フォーム'!E21</f>
        <v/>
      </c>
    </row>
    <row r="18" ht="28" customHeight="1">
      <c r="A18" s="15" t="n">
        <v>14</v>
      </c>
      <c r="B18" s="15" t="n">
        <v>2</v>
      </c>
      <c r="C18" s="15" t="inlineStr">
        <is>
          <t>Assessment対象範囲</t>
        </is>
      </c>
      <c r="D18" s="15" t="inlineStr">
        <is>
          <t>F211</t>
        </is>
      </c>
      <c r="E18" s="15" t="inlineStr">
        <is>
          <t>プロジェクト1：プロジェクト/製品名</t>
        </is>
      </c>
      <c r="F18" s="15" t="inlineStr">
        <is>
          <t>Project1Name</t>
        </is>
      </c>
      <c r="G18" s="15" t="inlineStr">
        <is>
          <t>必須</t>
        </is>
      </c>
      <c r="H18" s="20">
        <f>'入力フォーム'!E22</f>
        <v/>
      </c>
    </row>
    <row r="19" ht="28" customHeight="1">
      <c r="A19" s="15" t="n">
        <v>15</v>
      </c>
      <c r="B19" s="15" t="n">
        <v>2</v>
      </c>
      <c r="C19" s="15" t="inlineStr">
        <is>
          <t>Assessment対象範囲</t>
        </is>
      </c>
      <c r="D19" s="15" t="inlineStr">
        <is>
          <t>F212</t>
        </is>
      </c>
      <c r="E19" s="15" t="inlineStr">
        <is>
          <t>プロジェクト1：段階</t>
        </is>
      </c>
      <c r="F19" s="15" t="inlineStr">
        <is>
          <t>Project1Stage</t>
        </is>
      </c>
      <c r="G19" s="15" t="inlineStr">
        <is>
          <t>必須</t>
        </is>
      </c>
      <c r="H19" s="20">
        <f>'入力フォーム'!E23</f>
        <v/>
      </c>
    </row>
    <row r="20" ht="28" customHeight="1">
      <c r="A20" s="15" t="n">
        <v>16</v>
      </c>
      <c r="B20" s="15" t="n">
        <v>2</v>
      </c>
      <c r="C20" s="15" t="inlineStr">
        <is>
          <t>Assessment対象範囲</t>
        </is>
      </c>
      <c r="D20" s="15" t="inlineStr">
        <is>
          <t>F213</t>
        </is>
      </c>
      <c r="E20" s="15" t="inlineStr">
        <is>
          <t>プロジェクト1：優先度</t>
        </is>
      </c>
      <c r="F20" s="15" t="inlineStr">
        <is>
          <t>Project1Priority</t>
        </is>
      </c>
      <c r="G20" s="15" t="inlineStr">
        <is>
          <t>必須</t>
        </is>
      </c>
      <c r="H20" s="20">
        <f>'入力フォーム'!E24</f>
        <v/>
      </c>
    </row>
    <row r="21" ht="28" customHeight="1">
      <c r="A21" s="15" t="n">
        <v>17</v>
      </c>
      <c r="B21" s="15" t="n">
        <v>2</v>
      </c>
      <c r="C21" s="15" t="inlineStr">
        <is>
          <t>Assessment対象範囲</t>
        </is>
      </c>
      <c r="D21" s="15" t="inlineStr">
        <is>
          <t>F214</t>
        </is>
      </c>
      <c r="E21" s="15" t="inlineStr">
        <is>
          <t>プロジェクト1：AI活用の狙い・確認したいこと</t>
        </is>
      </c>
      <c r="F21" s="15" t="inlineStr">
        <is>
          <t>Project1AIIntent</t>
        </is>
      </c>
      <c r="G21" s="15" t="inlineStr">
        <is>
          <t>必須</t>
        </is>
      </c>
      <c r="H21" s="20">
        <f>'入力フォーム'!E25</f>
        <v/>
      </c>
    </row>
    <row r="22" ht="28" customHeight="1">
      <c r="A22" s="15" t="n">
        <v>18</v>
      </c>
      <c r="B22" s="15" t="n">
        <v>2</v>
      </c>
      <c r="C22" s="15" t="inlineStr">
        <is>
          <t>Assessment対象範囲</t>
        </is>
      </c>
      <c r="D22" s="15" t="inlineStr">
        <is>
          <t>F221</t>
        </is>
      </c>
      <c r="E22" s="15" t="inlineStr">
        <is>
          <t>プロジェクト2：プロジェクト/製品名</t>
        </is>
      </c>
      <c r="F22" s="15" t="inlineStr">
        <is>
          <t>Project2Name</t>
        </is>
      </c>
      <c r="G22" s="15" t="inlineStr">
        <is>
          <t>任意</t>
        </is>
      </c>
      <c r="H22" s="20">
        <f>'入力フォーム'!E26</f>
        <v/>
      </c>
    </row>
    <row r="23" ht="28" customHeight="1">
      <c r="A23" s="15" t="n">
        <v>19</v>
      </c>
      <c r="B23" s="15" t="n">
        <v>2</v>
      </c>
      <c r="C23" s="15" t="inlineStr">
        <is>
          <t>Assessment対象範囲</t>
        </is>
      </c>
      <c r="D23" s="15" t="inlineStr">
        <is>
          <t>F222</t>
        </is>
      </c>
      <c r="E23" s="15" t="inlineStr">
        <is>
          <t>プロジェクト2：段階</t>
        </is>
      </c>
      <c r="F23" s="15" t="inlineStr">
        <is>
          <t>Project2Stage</t>
        </is>
      </c>
      <c r="G23" s="15" t="inlineStr">
        <is>
          <t>任意</t>
        </is>
      </c>
      <c r="H23" s="20">
        <f>'入力フォーム'!E27</f>
        <v/>
      </c>
    </row>
    <row r="24" ht="28" customHeight="1">
      <c r="A24" s="15" t="n">
        <v>20</v>
      </c>
      <c r="B24" s="15" t="n">
        <v>2</v>
      </c>
      <c r="C24" s="15" t="inlineStr">
        <is>
          <t>Assessment対象範囲</t>
        </is>
      </c>
      <c r="D24" s="15" t="inlineStr">
        <is>
          <t>F223</t>
        </is>
      </c>
      <c r="E24" s="15" t="inlineStr">
        <is>
          <t>プロジェクト2：優先度</t>
        </is>
      </c>
      <c r="F24" s="15" t="inlineStr">
        <is>
          <t>Project2Priority</t>
        </is>
      </c>
      <c r="G24" s="15" t="inlineStr">
        <is>
          <t>任意</t>
        </is>
      </c>
      <c r="H24" s="20">
        <f>'入力フォーム'!E28</f>
        <v/>
      </c>
    </row>
    <row r="25" ht="28" customHeight="1">
      <c r="A25" s="15" t="n">
        <v>21</v>
      </c>
      <c r="B25" s="15" t="n">
        <v>2</v>
      </c>
      <c r="C25" s="15" t="inlineStr">
        <is>
          <t>Assessment対象範囲</t>
        </is>
      </c>
      <c r="D25" s="15" t="inlineStr">
        <is>
          <t>F224</t>
        </is>
      </c>
      <c r="E25" s="15" t="inlineStr">
        <is>
          <t>プロジェクト2：AI活用の狙い・確認したいこと</t>
        </is>
      </c>
      <c r="F25" s="15" t="inlineStr">
        <is>
          <t>Project2AIIntent</t>
        </is>
      </c>
      <c r="G25" s="15" t="inlineStr">
        <is>
          <t>任意</t>
        </is>
      </c>
      <c r="H25" s="20">
        <f>'入力フォーム'!E29</f>
        <v/>
      </c>
    </row>
    <row r="26" ht="28" customHeight="1">
      <c r="A26" s="15" t="n">
        <v>22</v>
      </c>
      <c r="B26" s="15" t="n">
        <v>2</v>
      </c>
      <c r="C26" s="15" t="inlineStr">
        <is>
          <t>Assessment対象範囲</t>
        </is>
      </c>
      <c r="D26" s="15" t="inlineStr">
        <is>
          <t>F231</t>
        </is>
      </c>
      <c r="E26" s="15" t="inlineStr">
        <is>
          <t>プロジェクト3：プロジェクト/製品名</t>
        </is>
      </c>
      <c r="F26" s="15" t="inlineStr">
        <is>
          <t>Project3Name</t>
        </is>
      </c>
      <c r="G26" s="15" t="inlineStr">
        <is>
          <t>任意</t>
        </is>
      </c>
      <c r="H26" s="20">
        <f>'入力フォーム'!E30</f>
        <v/>
      </c>
    </row>
    <row r="27" ht="28" customHeight="1">
      <c r="A27" s="15" t="n">
        <v>23</v>
      </c>
      <c r="B27" s="15" t="n">
        <v>2</v>
      </c>
      <c r="C27" s="15" t="inlineStr">
        <is>
          <t>Assessment対象範囲</t>
        </is>
      </c>
      <c r="D27" s="15" t="inlineStr">
        <is>
          <t>F232</t>
        </is>
      </c>
      <c r="E27" s="15" t="inlineStr">
        <is>
          <t>プロジェクト3：段階</t>
        </is>
      </c>
      <c r="F27" s="15" t="inlineStr">
        <is>
          <t>Project3Stage</t>
        </is>
      </c>
      <c r="G27" s="15" t="inlineStr">
        <is>
          <t>任意</t>
        </is>
      </c>
      <c r="H27" s="20">
        <f>'入力フォーム'!E31</f>
        <v/>
      </c>
    </row>
    <row r="28" ht="28" customHeight="1">
      <c r="A28" s="15" t="n">
        <v>24</v>
      </c>
      <c r="B28" s="15" t="n">
        <v>2</v>
      </c>
      <c r="C28" s="15" t="inlineStr">
        <is>
          <t>Assessment対象範囲</t>
        </is>
      </c>
      <c r="D28" s="15" t="inlineStr">
        <is>
          <t>F233</t>
        </is>
      </c>
      <c r="E28" s="15" t="inlineStr">
        <is>
          <t>プロジェクト3：優先度</t>
        </is>
      </c>
      <c r="F28" s="15" t="inlineStr">
        <is>
          <t>Project3Priority</t>
        </is>
      </c>
      <c r="G28" s="15" t="inlineStr">
        <is>
          <t>任意</t>
        </is>
      </c>
      <c r="H28" s="20">
        <f>'入力フォーム'!E32</f>
        <v/>
      </c>
    </row>
    <row r="29" ht="28" customHeight="1">
      <c r="A29" s="15" t="n">
        <v>25</v>
      </c>
      <c r="B29" s="15" t="n">
        <v>2</v>
      </c>
      <c r="C29" s="15" t="inlineStr">
        <is>
          <t>Assessment対象範囲</t>
        </is>
      </c>
      <c r="D29" s="15" t="inlineStr">
        <is>
          <t>F234</t>
        </is>
      </c>
      <c r="E29" s="15" t="inlineStr">
        <is>
          <t>プロジェクト3：AI活用の狙い・確認したいこと</t>
        </is>
      </c>
      <c r="F29" s="15" t="inlineStr">
        <is>
          <t>Project3AIIntent</t>
        </is>
      </c>
      <c r="G29" s="15" t="inlineStr">
        <is>
          <t>任意</t>
        </is>
      </c>
      <c r="H29" s="20">
        <f>'入力フォーム'!E33</f>
        <v/>
      </c>
    </row>
    <row r="30" ht="28" customHeight="1">
      <c r="A30" s="15" t="n">
        <v>26</v>
      </c>
      <c r="B30" s="15" t="n">
        <v>3</v>
      </c>
      <c r="C30" s="15" t="inlineStr">
        <is>
          <t>製品・サービス情報 / ISVアセット・IP</t>
        </is>
      </c>
      <c r="D30" s="15" t="inlineStr">
        <is>
          <t>F301</t>
        </is>
      </c>
      <c r="E30" s="15" t="inlineStr">
        <is>
          <t>主対象製品/サービス名</t>
        </is>
      </c>
      <c r="F30" s="15" t="inlineStr">
        <is>
          <t>PrimaryProductName</t>
        </is>
      </c>
      <c r="G30" s="15" t="inlineStr">
        <is>
          <t>必須</t>
        </is>
      </c>
      <c r="H30" s="20">
        <f>'入力フォーム'!E35</f>
        <v/>
      </c>
    </row>
    <row r="31" ht="28" customHeight="1">
      <c r="A31" s="15" t="n">
        <v>27</v>
      </c>
      <c r="B31" s="15" t="n">
        <v>3</v>
      </c>
      <c r="C31" s="15" t="inlineStr">
        <is>
          <t>製品・サービス情報 / ISVアセット・IP</t>
        </is>
      </c>
      <c r="D31" s="15" t="inlineStr">
        <is>
          <t>F302</t>
        </is>
      </c>
      <c r="E31" s="15" t="inlineStr">
        <is>
          <t>提供形態</t>
        </is>
      </c>
      <c r="F31" s="15" t="inlineStr">
        <is>
          <t>DeliveryModel</t>
        </is>
      </c>
      <c r="G31" s="15" t="inlineStr">
        <is>
          <t>任意</t>
        </is>
      </c>
      <c r="H31" s="20">
        <f>'入力フォーム'!E36</f>
        <v/>
      </c>
    </row>
    <row r="32" ht="28" customHeight="1">
      <c r="A32" s="15" t="n">
        <v>28</v>
      </c>
      <c r="B32" s="15" t="n">
        <v>3</v>
      </c>
      <c r="C32" s="15" t="inlineStr">
        <is>
          <t>製品・サービス情報 / ISVアセット・IP</t>
        </is>
      </c>
      <c r="D32" s="15" t="inlineStr">
        <is>
          <t>F303</t>
        </is>
      </c>
      <c r="E32" s="15" t="inlineStr">
        <is>
          <t>位置づけ・提供価値</t>
        </is>
      </c>
      <c r="F32" s="15" t="inlineStr">
        <is>
          <t>ProductPositioning</t>
        </is>
      </c>
      <c r="G32" s="15" t="inlineStr">
        <is>
          <t>任意</t>
        </is>
      </c>
      <c r="H32" s="20">
        <f>'入力フォーム'!E37</f>
        <v/>
      </c>
    </row>
    <row r="33" ht="28" customHeight="1">
      <c r="A33" s="15" t="n">
        <v>29</v>
      </c>
      <c r="B33" s="15" t="n">
        <v>3</v>
      </c>
      <c r="C33" s="15" t="inlineStr">
        <is>
          <t>製品・サービス情報 / ISVアセット・IP</t>
        </is>
      </c>
      <c r="D33" s="15" t="inlineStr">
        <is>
          <t>F304</t>
        </is>
      </c>
      <c r="E33" s="15" t="inlineStr">
        <is>
          <t>代表的な機能・業務範囲</t>
        </is>
      </c>
      <c r="F33" s="15" t="inlineStr">
        <is>
          <t>ProductFunctions</t>
        </is>
      </c>
      <c r="G33" s="15" t="inlineStr">
        <is>
          <t>必須</t>
        </is>
      </c>
      <c r="H33" s="20">
        <f>'入力フォーム'!E38</f>
        <v/>
      </c>
    </row>
    <row r="34" ht="28" customHeight="1">
      <c r="A34" s="15" t="n">
        <v>30</v>
      </c>
      <c r="B34" s="15" t="n">
        <v>3</v>
      </c>
      <c r="C34" s="15" t="inlineStr">
        <is>
          <t>製品・サービス情報 / ISVアセット・IP</t>
        </is>
      </c>
      <c r="D34" s="15" t="inlineStr">
        <is>
          <t>F305</t>
        </is>
      </c>
      <c r="E34" s="15" t="inlineStr">
        <is>
          <t>関連データ領域</t>
        </is>
      </c>
      <c r="F34" s="15" t="inlineStr">
        <is>
          <t>DataDomains</t>
        </is>
      </c>
      <c r="G34" s="15" t="inlineStr">
        <is>
          <t>必須</t>
        </is>
      </c>
      <c r="H34" s="20">
        <f>'入力フォーム'!E39</f>
        <v/>
      </c>
    </row>
    <row r="35" ht="28" customHeight="1">
      <c r="A35" s="15" t="n">
        <v>31</v>
      </c>
      <c r="B35" s="15" t="n">
        <v>3</v>
      </c>
      <c r="C35" s="15" t="inlineStr">
        <is>
          <t>製品・サービス情報 / ISVアセット・IP</t>
        </is>
      </c>
      <c r="D35" s="15" t="inlineStr">
        <is>
          <t>F306</t>
        </is>
      </c>
      <c r="E35" s="15" t="inlineStr">
        <is>
          <t>関連/拡張ソリューション</t>
        </is>
      </c>
      <c r="F35" s="15" t="inlineStr">
        <is>
          <t>RelatedSolutions</t>
        </is>
      </c>
      <c r="G35" s="15" t="inlineStr">
        <is>
          <t>任意</t>
        </is>
      </c>
      <c r="H35" s="20">
        <f>'入力フォーム'!E40</f>
        <v/>
      </c>
    </row>
    <row r="36" ht="28" customHeight="1">
      <c r="A36" s="15" t="n">
        <v>32</v>
      </c>
      <c r="B36" s="15" t="n">
        <v>3</v>
      </c>
      <c r="C36" s="15" t="inlineStr">
        <is>
          <t>製品・サービス情報 / ISVアセット・IP</t>
        </is>
      </c>
      <c r="D36" s="15" t="inlineStr">
        <is>
          <t>F307</t>
        </is>
      </c>
      <c r="E36" s="15" t="inlineStr">
        <is>
          <t>カスタマイズ/個社対応の状況</t>
        </is>
      </c>
      <c r="F36" s="15" t="inlineStr">
        <is>
          <t>CustomizationStatus</t>
        </is>
      </c>
      <c r="G36" s="15" t="inlineStr">
        <is>
          <t>任意</t>
        </is>
      </c>
      <c r="H36" s="20">
        <f>'入力フォーム'!E41</f>
        <v/>
      </c>
    </row>
    <row r="37" ht="28" customHeight="1">
      <c r="A37" s="15" t="n">
        <v>33</v>
      </c>
      <c r="B37" s="15" t="n">
        <v>3</v>
      </c>
      <c r="C37" s="15" t="inlineStr">
        <is>
          <t>製品・サービス情報 / ISVアセット・IP</t>
        </is>
      </c>
      <c r="D37" s="15" t="inlineStr">
        <is>
          <t>F308</t>
        </is>
      </c>
      <c r="E37" s="15" t="inlineStr">
        <is>
          <t>追加対象製品・サービスがあれば記入してください</t>
        </is>
      </c>
      <c r="F37" s="15" t="inlineStr">
        <is>
          <t>AdditionalProducts</t>
        </is>
      </c>
      <c r="G37" s="15" t="inlineStr">
        <is>
          <t>任意</t>
        </is>
      </c>
      <c r="H37" s="20">
        <f>'入力フォーム'!E42</f>
        <v/>
      </c>
    </row>
    <row r="38" ht="28" customHeight="1">
      <c r="A38" s="15" t="n">
        <v>34</v>
      </c>
      <c r="B38" s="15" t="n">
        <v>4</v>
      </c>
      <c r="C38" s="15" t="inlineStr">
        <is>
          <t>顧客・価格・競合</t>
        </is>
      </c>
      <c r="D38" s="15" t="inlineStr">
        <is>
          <t>F401</t>
        </is>
      </c>
      <c r="E38" s="15" t="inlineStr">
        <is>
          <t>ターゲット顧客規模</t>
        </is>
      </c>
      <c r="F38" s="15" t="inlineStr">
        <is>
          <t>CustomerScale</t>
        </is>
      </c>
      <c r="G38" s="15" t="inlineStr">
        <is>
          <t>任意</t>
        </is>
      </c>
      <c r="H38" s="20">
        <f>'入力フォーム'!E44</f>
        <v/>
      </c>
    </row>
    <row r="39" ht="28" customHeight="1">
      <c r="A39" s="15" t="n">
        <v>35</v>
      </c>
      <c r="B39" s="15" t="n">
        <v>4</v>
      </c>
      <c r="C39" s="15" t="inlineStr">
        <is>
          <t>顧客・価格・競合</t>
        </is>
      </c>
      <c r="D39" s="15" t="inlineStr">
        <is>
          <t>F402</t>
        </is>
      </c>
      <c r="E39" s="15" t="inlineStr">
        <is>
          <t>価格形態</t>
        </is>
      </c>
      <c r="F39" s="15" t="inlineStr">
        <is>
          <t>PricingModel</t>
        </is>
      </c>
      <c r="G39" s="15" t="inlineStr">
        <is>
          <t>任意</t>
        </is>
      </c>
      <c r="H39" s="20">
        <f>'入力フォーム'!E45</f>
        <v/>
      </c>
    </row>
    <row r="40" ht="28" customHeight="1">
      <c r="A40" s="15" t="n">
        <v>36</v>
      </c>
      <c r="B40" s="15" t="n">
        <v>4</v>
      </c>
      <c r="C40" s="15" t="inlineStr">
        <is>
          <t>顧客・価格・競合</t>
        </is>
      </c>
      <c r="D40" s="15" t="inlineStr">
        <is>
          <t>F403</t>
        </is>
      </c>
      <c r="E40" s="15" t="inlineStr">
        <is>
          <t>ライセンス形式</t>
        </is>
      </c>
      <c r="F40" s="15" t="inlineStr">
        <is>
          <t>LicenseModel</t>
        </is>
      </c>
      <c r="G40" s="15" t="inlineStr">
        <is>
          <t>任意</t>
        </is>
      </c>
      <c r="H40" s="20">
        <f>'入力フォーム'!E46</f>
        <v/>
      </c>
    </row>
    <row r="41" ht="28" customHeight="1">
      <c r="A41" s="15" t="n">
        <v>37</v>
      </c>
      <c r="B41" s="15" t="n">
        <v>4</v>
      </c>
      <c r="C41" s="15" t="inlineStr">
        <is>
          <t>顧客・価格・競合</t>
        </is>
      </c>
      <c r="D41" s="15" t="inlineStr">
        <is>
          <t>F404</t>
        </is>
      </c>
      <c r="E41" s="15" t="inlineStr">
        <is>
          <t>現行収益モデル</t>
        </is>
      </c>
      <c r="F41" s="15" t="inlineStr">
        <is>
          <t>CurrentRevenueModel</t>
        </is>
      </c>
      <c r="G41" s="15" t="inlineStr">
        <is>
          <t>任意</t>
        </is>
      </c>
      <c r="H41" s="20">
        <f>'入力フォーム'!E47</f>
        <v/>
      </c>
    </row>
    <row r="42" ht="28" customHeight="1">
      <c r="A42" s="15" t="n">
        <v>38</v>
      </c>
      <c r="B42" s="15" t="n">
        <v>4</v>
      </c>
      <c r="C42" s="15" t="inlineStr">
        <is>
          <t>顧客・価格・競合</t>
        </is>
      </c>
      <c r="D42" s="15" t="inlineStr">
        <is>
          <t>F405</t>
        </is>
      </c>
      <c r="E42" s="15" t="inlineStr">
        <is>
          <t>AI機能の想定収益モデル</t>
        </is>
      </c>
      <c r="F42" s="15" t="inlineStr">
        <is>
          <t>AIRevenueModel</t>
        </is>
      </c>
      <c r="G42" s="15" t="inlineStr">
        <is>
          <t>任意</t>
        </is>
      </c>
      <c r="H42" s="20">
        <f>'入力フォーム'!E48</f>
        <v/>
      </c>
    </row>
    <row r="43" ht="28" customHeight="1">
      <c r="A43" s="15" t="n">
        <v>39</v>
      </c>
      <c r="B43" s="15" t="n">
        <v>4</v>
      </c>
      <c r="C43" s="15" t="inlineStr">
        <is>
          <t>顧客・価格・競合</t>
        </is>
      </c>
      <c r="D43" s="15" t="inlineStr">
        <is>
          <t>F406</t>
        </is>
      </c>
      <c r="E43" s="15" t="inlineStr">
        <is>
          <t>主な競合製品・競合企業</t>
        </is>
      </c>
      <c r="F43" s="15" t="inlineStr">
        <is>
          <t>Competitors</t>
        </is>
      </c>
      <c r="G43" s="15" t="inlineStr">
        <is>
          <t>任意</t>
        </is>
      </c>
      <c r="H43" s="20">
        <f>'入力フォーム'!E49</f>
        <v/>
      </c>
    </row>
    <row r="44" ht="28" customHeight="1">
      <c r="A44" s="15" t="n">
        <v>40</v>
      </c>
      <c r="B44" s="15" t="n">
        <v>4</v>
      </c>
      <c r="C44" s="15" t="inlineStr">
        <is>
          <t>顧客・価格・競合</t>
        </is>
      </c>
      <c r="D44" s="15" t="inlineStr">
        <is>
          <t>F407</t>
        </is>
      </c>
      <c r="E44" s="15" t="inlineStr">
        <is>
          <t>競合と比較したAI差別化仮説</t>
        </is>
      </c>
      <c r="F44" s="15" t="inlineStr">
        <is>
          <t>CompetitiveAIDifferentiation</t>
        </is>
      </c>
      <c r="G44" s="15" t="inlineStr">
        <is>
          <t>任意</t>
        </is>
      </c>
      <c r="H44" s="20">
        <f>'入力フォーム'!E50</f>
        <v/>
      </c>
    </row>
    <row r="45" ht="28" customHeight="1">
      <c r="A45" s="15" t="n">
        <v>41</v>
      </c>
      <c r="B45" s="15" t="n">
        <v>4</v>
      </c>
      <c r="C45" s="15" t="inlineStr">
        <is>
          <t>顧客・価格・競合</t>
        </is>
      </c>
      <c r="D45" s="15" t="inlineStr">
        <is>
          <t>F408</t>
        </is>
      </c>
      <c r="E45" s="15" t="inlineStr">
        <is>
          <t>市場投入上の課題・懸念</t>
        </is>
      </c>
      <c r="F45" s="15" t="inlineStr">
        <is>
          <t>GTMChallenges</t>
        </is>
      </c>
      <c r="G45" s="15" t="inlineStr">
        <is>
          <t>任意</t>
        </is>
      </c>
      <c r="H45" s="20">
        <f>'入力フォーム'!E51</f>
        <v/>
      </c>
    </row>
    <row r="46" ht="28" customHeight="1">
      <c r="A46" s="15" t="n">
        <v>42</v>
      </c>
      <c r="B46" s="15" t="n">
        <v>5</v>
      </c>
      <c r="C46" s="15" t="inlineStr">
        <is>
          <t>データ/IP・利用条件</t>
        </is>
      </c>
      <c r="D46" s="15" t="inlineStr">
        <is>
          <t>F501</t>
        </is>
      </c>
      <c r="E46" s="15" t="inlineStr">
        <is>
          <t>保有データ・業務IP</t>
        </is>
      </c>
      <c r="F46" s="15" t="inlineStr">
        <is>
          <t>DataAssetsIP</t>
        </is>
      </c>
      <c r="G46" s="15" t="inlineStr">
        <is>
          <t>必須</t>
        </is>
      </c>
      <c r="H46" s="20">
        <f>'入力フォーム'!E53</f>
        <v/>
      </c>
    </row>
    <row r="47" ht="28" customHeight="1">
      <c r="A47" s="15" t="n">
        <v>43</v>
      </c>
      <c r="B47" s="15" t="n">
        <v>5</v>
      </c>
      <c r="C47" s="15" t="inlineStr">
        <is>
          <t>データ/IP・利用条件</t>
        </is>
      </c>
      <c r="D47" s="15" t="inlineStr">
        <is>
          <t>F502</t>
        </is>
      </c>
      <c r="E47" s="15" t="inlineStr">
        <is>
          <t>データ種別</t>
        </is>
      </c>
      <c r="F47" s="15" t="inlineStr">
        <is>
          <t>DataTypes</t>
        </is>
      </c>
      <c r="G47" s="15" t="inlineStr">
        <is>
          <t>任意</t>
        </is>
      </c>
      <c r="H47" s="20">
        <f>'入力フォーム'!E54</f>
        <v/>
      </c>
    </row>
    <row r="48" ht="28" customHeight="1">
      <c r="A48" s="15" t="n">
        <v>44</v>
      </c>
      <c r="B48" s="15" t="n">
        <v>5</v>
      </c>
      <c r="C48" s="15" t="inlineStr">
        <is>
          <t>データ/IP・利用条件</t>
        </is>
      </c>
      <c r="D48" s="15" t="inlineStr">
        <is>
          <t>F503</t>
        </is>
      </c>
      <c r="E48" s="15" t="inlineStr">
        <is>
          <t>データの所在・保持場所</t>
        </is>
      </c>
      <c r="F48" s="15" t="inlineStr">
        <is>
          <t>DataLocation</t>
        </is>
      </c>
      <c r="G48" s="15" t="inlineStr">
        <is>
          <t>任意</t>
        </is>
      </c>
      <c r="H48" s="20">
        <f>'入力フォーム'!E55</f>
        <v/>
      </c>
    </row>
    <row r="49" ht="28" customHeight="1">
      <c r="A49" s="15" t="n">
        <v>45</v>
      </c>
      <c r="B49" s="15" t="n">
        <v>5</v>
      </c>
      <c r="C49" s="15" t="inlineStr">
        <is>
          <t>データ/IP・利用条件</t>
        </is>
      </c>
      <c r="D49" s="15" t="inlineStr">
        <is>
          <t>F504</t>
        </is>
      </c>
      <c r="E49" s="15" t="inlineStr">
        <is>
          <t>データ形式・連携方式</t>
        </is>
      </c>
      <c r="F49" s="15" t="inlineStr">
        <is>
          <t>DataFormat</t>
        </is>
      </c>
      <c r="G49" s="15" t="inlineStr">
        <is>
          <t>任意</t>
        </is>
      </c>
      <c r="H49" s="20">
        <f>'入力フォーム'!E56</f>
        <v/>
      </c>
    </row>
    <row r="50" ht="28" customHeight="1">
      <c r="A50" s="15" t="n">
        <v>46</v>
      </c>
      <c r="B50" s="15" t="n">
        <v>5</v>
      </c>
      <c r="C50" s="15" t="inlineStr">
        <is>
          <t>データ/IP・利用条件</t>
        </is>
      </c>
      <c r="D50" s="15" t="inlineStr">
        <is>
          <t>F505</t>
        </is>
      </c>
      <c r="E50" s="15" t="inlineStr">
        <is>
          <t>データ量・更新頻度・品質</t>
        </is>
      </c>
      <c r="F50" s="15" t="inlineStr">
        <is>
          <t>DataVolumeQuality</t>
        </is>
      </c>
      <c r="G50" s="15" t="inlineStr">
        <is>
          <t>任意</t>
        </is>
      </c>
      <c r="H50" s="20">
        <f>'入力フォーム'!E57</f>
        <v/>
      </c>
    </row>
    <row r="51" ht="28" customHeight="1">
      <c r="A51" s="15" t="n">
        <v>47</v>
      </c>
      <c r="B51" s="15" t="n">
        <v>5</v>
      </c>
      <c r="C51" s="15" t="inlineStr">
        <is>
          <t>データ/IP・利用条件</t>
        </is>
      </c>
      <c r="D51" s="15" t="inlineStr">
        <is>
          <t>F506</t>
        </is>
      </c>
      <c r="E51" s="15" t="inlineStr">
        <is>
          <t>テナント分離・顧客データ方針</t>
        </is>
      </c>
      <c r="F51" s="15" t="inlineStr">
        <is>
          <t>TenantDataPolicy</t>
        </is>
      </c>
      <c r="G51" s="15" t="inlineStr">
        <is>
          <t>任意</t>
        </is>
      </c>
      <c r="H51" s="20">
        <f>'入力フォーム'!E58</f>
        <v/>
      </c>
    </row>
    <row r="52" ht="28" customHeight="1">
      <c r="A52" s="15" t="n">
        <v>48</v>
      </c>
      <c r="B52" s="15" t="n">
        <v>5</v>
      </c>
      <c r="C52" s="15" t="inlineStr">
        <is>
          <t>データ/IP・利用条件</t>
        </is>
      </c>
      <c r="D52" s="15" t="inlineStr">
        <is>
          <t>F507</t>
        </is>
      </c>
      <c r="E52" s="15" t="inlineStr">
        <is>
          <t>データ利用許諾・匿名化/マスキング</t>
        </is>
      </c>
      <c r="F52" s="15" t="inlineStr">
        <is>
          <t>DataUsageConsent</t>
        </is>
      </c>
      <c r="G52" s="15" t="inlineStr">
        <is>
          <t>任意</t>
        </is>
      </c>
      <c r="H52" s="20">
        <f>'入力フォーム'!E59</f>
        <v/>
      </c>
    </row>
    <row r="53" ht="28" customHeight="1">
      <c r="A53" s="15" t="n">
        <v>49</v>
      </c>
      <c r="B53" s="15" t="n">
        <v>5</v>
      </c>
      <c r="C53" s="15" t="inlineStr">
        <is>
          <t>データ/IP・利用条件</t>
        </is>
      </c>
      <c r="D53" s="15" t="inlineStr">
        <is>
          <t>F508</t>
        </is>
      </c>
      <c r="E53" s="15" t="inlineStr">
        <is>
          <t>複数企業/取引先データの取り扱い</t>
        </is>
      </c>
      <c r="F53" s="15" t="inlineStr">
        <is>
          <t>MultiCompanyDataPolicy</t>
        </is>
      </c>
      <c r="G53" s="15" t="inlineStr">
        <is>
          <t>任意</t>
        </is>
      </c>
      <c r="H53" s="20">
        <f>'入力フォーム'!E60</f>
        <v/>
      </c>
    </row>
    <row r="54" ht="28" customHeight="1">
      <c r="A54" s="15" t="n">
        <v>50</v>
      </c>
      <c r="B54" s="15" t="n">
        <v>5</v>
      </c>
      <c r="C54" s="15" t="inlineStr">
        <is>
          <t>データ/IP・利用条件</t>
        </is>
      </c>
      <c r="D54" s="15" t="inlineStr">
        <is>
          <t>F509_1</t>
        </is>
      </c>
      <c r="E54" s="15" t="inlineStr">
        <is>
          <t>データ成熟度：必要データが存在する</t>
        </is>
      </c>
      <c r="F54" s="15" t="inlineStr">
        <is>
          <t>DataReadinessCheck1</t>
        </is>
      </c>
      <c r="G54" s="15" t="inlineStr">
        <is>
          <t>任意</t>
        </is>
      </c>
      <c r="H54" s="20">
        <f>'入力フォーム'!E61</f>
        <v/>
      </c>
    </row>
    <row r="55" ht="28" customHeight="1">
      <c r="A55" s="15" t="n">
        <v>51</v>
      </c>
      <c r="B55" s="15" t="n">
        <v>5</v>
      </c>
      <c r="C55" s="15" t="inlineStr">
        <is>
          <t>データ/IP・利用条件</t>
        </is>
      </c>
      <c r="D55" s="15" t="inlineStr">
        <is>
          <t>F509_2</t>
        </is>
      </c>
      <c r="E55" s="15" t="inlineStr">
        <is>
          <t>データ成熟度：データ項目定義が明確</t>
        </is>
      </c>
      <c r="F55" s="15" t="inlineStr">
        <is>
          <t>DataReadinessCheck2</t>
        </is>
      </c>
      <c r="G55" s="15" t="inlineStr">
        <is>
          <t>任意</t>
        </is>
      </c>
      <c r="H55" s="20">
        <f>'入力フォーム'!E62</f>
        <v/>
      </c>
    </row>
    <row r="56" ht="28" customHeight="1">
      <c r="A56" s="15" t="n">
        <v>52</v>
      </c>
      <c r="B56" s="15" t="n">
        <v>5</v>
      </c>
      <c r="C56" s="15" t="inlineStr">
        <is>
          <t>データ/IP・利用条件</t>
        </is>
      </c>
      <c r="D56" s="15" t="inlineStr">
        <is>
          <t>F509_3</t>
        </is>
      </c>
      <c r="E56" s="15" t="inlineStr">
        <is>
          <t>データ成熟度：データ品質を把握している</t>
        </is>
      </c>
      <c r="F56" s="15" t="inlineStr">
        <is>
          <t>DataReadinessCheck3</t>
        </is>
      </c>
      <c r="G56" s="15" t="inlineStr">
        <is>
          <t>任意</t>
        </is>
      </c>
      <c r="H56" s="20">
        <f>'入力フォーム'!E63</f>
        <v/>
      </c>
    </row>
    <row r="57" ht="28" customHeight="1">
      <c r="A57" s="15" t="n">
        <v>53</v>
      </c>
      <c r="B57" s="15" t="n">
        <v>5</v>
      </c>
      <c r="C57" s="15" t="inlineStr">
        <is>
          <t>データ/IP・利用条件</t>
        </is>
      </c>
      <c r="D57" s="15" t="inlineStr">
        <is>
          <t>F509_4</t>
        </is>
      </c>
      <c r="E57" s="15" t="inlineStr">
        <is>
          <t>データ成熟度：顧客データ利用許諾が整理済み</t>
        </is>
      </c>
      <c r="F57" s="15" t="inlineStr">
        <is>
          <t>DataReadinessCheck4</t>
        </is>
      </c>
      <c r="G57" s="15" t="inlineStr">
        <is>
          <t>任意</t>
        </is>
      </c>
      <c r="H57" s="20">
        <f>'入力フォーム'!E64</f>
        <v/>
      </c>
    </row>
    <row r="58" ht="28" customHeight="1">
      <c r="A58" s="15" t="n">
        <v>54</v>
      </c>
      <c r="B58" s="15" t="n">
        <v>5</v>
      </c>
      <c r="C58" s="15" t="inlineStr">
        <is>
          <t>データ/IP・利用条件</t>
        </is>
      </c>
      <c r="D58" s="15" t="inlineStr">
        <is>
          <t>F509_5</t>
        </is>
      </c>
      <c r="E58" s="15" t="inlineStr">
        <is>
          <t>データ成熟度：匿名化・マスキング方針がある</t>
        </is>
      </c>
      <c r="F58" s="15" t="inlineStr">
        <is>
          <t>DataReadinessCheck5</t>
        </is>
      </c>
      <c r="G58" s="15" t="inlineStr">
        <is>
          <t>任意</t>
        </is>
      </c>
      <c r="H58" s="20">
        <f>'入力フォーム'!E65</f>
        <v/>
      </c>
    </row>
    <row r="59" ht="28" customHeight="1">
      <c r="A59" s="15" t="n">
        <v>55</v>
      </c>
      <c r="B59" s="15" t="n">
        <v>5</v>
      </c>
      <c r="C59" s="15" t="inlineStr">
        <is>
          <t>データ/IP・利用条件</t>
        </is>
      </c>
      <c r="D59" s="15" t="inlineStr">
        <is>
          <t>F509_6</t>
        </is>
      </c>
      <c r="E59" s="15" t="inlineStr">
        <is>
          <t>データ成熟度：API・連携方式がある</t>
        </is>
      </c>
      <c r="F59" s="15" t="inlineStr">
        <is>
          <t>DataReadinessCheck6</t>
        </is>
      </c>
      <c r="G59" s="15" t="inlineStr">
        <is>
          <t>任意</t>
        </is>
      </c>
      <c r="H59" s="20">
        <f>'入力フォーム'!E66</f>
        <v/>
      </c>
    </row>
    <row r="60" ht="28" customHeight="1">
      <c r="A60" s="15" t="n">
        <v>56</v>
      </c>
      <c r="B60" s="15" t="n">
        <v>6</v>
      </c>
      <c r="C60" s="15" t="inlineStr">
        <is>
          <t>AIで実現したいこと</t>
        </is>
      </c>
      <c r="D60" s="15" t="inlineStr">
        <is>
          <t>F601</t>
        </is>
      </c>
      <c r="E60" s="15" t="inlineStr">
        <is>
          <t>AI活用目的</t>
        </is>
      </c>
      <c r="F60" s="15" t="inlineStr">
        <is>
          <t>AIObjectives</t>
        </is>
      </c>
      <c r="G60" s="15" t="inlineStr">
        <is>
          <t>必須</t>
        </is>
      </c>
      <c r="H60" s="20">
        <f>'入力フォーム'!E68</f>
        <v/>
      </c>
    </row>
    <row r="61" ht="28" customHeight="1">
      <c r="A61" s="15" t="n">
        <v>57</v>
      </c>
      <c r="B61" s="15" t="n">
        <v>6</v>
      </c>
      <c r="C61" s="15" t="inlineStr">
        <is>
          <t>AIで実現したいこと</t>
        </is>
      </c>
      <c r="D61" s="15" t="inlineStr">
        <is>
          <t>F602</t>
        </is>
      </c>
      <c r="E61" s="15" t="inlineStr">
        <is>
          <t>AIで何を行いたいか</t>
        </is>
      </c>
      <c r="F61" s="15" t="inlineStr">
        <is>
          <t>WhatToDoWithAI</t>
        </is>
      </c>
      <c r="G61" s="15" t="inlineStr">
        <is>
          <t>必須</t>
        </is>
      </c>
      <c r="H61" s="20">
        <f>'入力フォーム'!E69</f>
        <v/>
      </c>
    </row>
    <row r="62" ht="28" customHeight="1">
      <c r="A62" s="15" t="n">
        <v>58</v>
      </c>
      <c r="B62" s="15" t="n">
        <v>6</v>
      </c>
      <c r="C62" s="15" t="inlineStr">
        <is>
          <t>AIで実現したいこと</t>
        </is>
      </c>
      <c r="D62" s="15" t="inlineStr">
        <is>
          <t>F603</t>
        </is>
      </c>
      <c r="E62" s="15" t="inlineStr">
        <is>
          <t>期待するAI機能・サービス内容</t>
        </is>
      </c>
      <c r="F62" s="15" t="inlineStr">
        <is>
          <t>AIFeatureExpectations</t>
        </is>
      </c>
      <c r="G62" s="15" t="inlineStr">
        <is>
          <t>任意</t>
        </is>
      </c>
      <c r="H62" s="20">
        <f>'入力フォーム'!E70</f>
        <v/>
      </c>
    </row>
    <row r="63" ht="28" customHeight="1">
      <c r="A63" s="15" t="n">
        <v>59</v>
      </c>
      <c r="B63" s="15" t="n">
        <v>6</v>
      </c>
      <c r="C63" s="15" t="inlineStr">
        <is>
          <t>AIで実現したいこと</t>
        </is>
      </c>
      <c r="D63" s="15" t="inlineStr">
        <is>
          <t>F604</t>
        </is>
      </c>
      <c r="E63" s="15" t="inlineStr">
        <is>
          <t>AIの実行レベル</t>
        </is>
      </c>
      <c r="F63" s="15" t="inlineStr">
        <is>
          <t>AIExecutionLevel</t>
        </is>
      </c>
      <c r="G63" s="15" t="inlineStr">
        <is>
          <t>任意</t>
        </is>
      </c>
      <c r="H63" s="20">
        <f>'入力フォーム'!E71</f>
        <v/>
      </c>
    </row>
    <row r="64" ht="28" customHeight="1">
      <c r="A64" s="15" t="n">
        <v>60</v>
      </c>
      <c r="B64" s="15" t="n">
        <v>6</v>
      </c>
      <c r="C64" s="15" t="inlineStr">
        <is>
          <t>AIで実現したいこと</t>
        </is>
      </c>
      <c r="D64" s="15" t="inlineStr">
        <is>
          <t>F605</t>
        </is>
      </c>
      <c r="E64" s="15" t="inlineStr">
        <is>
          <t>人による確認/承認が必要な場面</t>
        </is>
      </c>
      <c r="F64" s="15" t="inlineStr">
        <is>
          <t>HumanInLoop</t>
        </is>
      </c>
      <c r="G64" s="15" t="inlineStr">
        <is>
          <t>任意</t>
        </is>
      </c>
      <c r="H64" s="20">
        <f>'入力フォーム'!E72</f>
        <v/>
      </c>
    </row>
    <row r="65" ht="28" customHeight="1">
      <c r="A65" s="15" t="n">
        <v>61</v>
      </c>
      <c r="B65" s="15" t="n">
        <v>6</v>
      </c>
      <c r="C65" s="15" t="inlineStr">
        <is>
          <t>AIで実現したいこと</t>
        </is>
      </c>
      <c r="D65" s="15" t="inlineStr">
        <is>
          <t>F606</t>
        </is>
      </c>
      <c r="E65" s="15" t="inlineStr">
        <is>
          <t>期待するKPI/ビジネス効果</t>
        </is>
      </c>
      <c r="F65" s="15" t="inlineStr">
        <is>
          <t>BusinessKPI</t>
        </is>
      </c>
      <c r="G65" s="15" t="inlineStr">
        <is>
          <t>任意</t>
        </is>
      </c>
      <c r="H65" s="20">
        <f>'入力フォーム'!E73</f>
        <v/>
      </c>
    </row>
    <row r="66" ht="28" customHeight="1">
      <c r="A66" s="15" t="n">
        <v>62</v>
      </c>
      <c r="B66" s="15" t="n">
        <v>6</v>
      </c>
      <c r="C66" s="15" t="inlineStr">
        <is>
          <t>AIで実現したいこと</t>
        </is>
      </c>
      <c r="D66" s="15" t="inlineStr">
        <is>
          <t>F607</t>
        </is>
      </c>
      <c r="E66" s="15" t="inlineStr">
        <is>
          <t>AI機能の想定利用者</t>
        </is>
      </c>
      <c r="F66" s="15" t="inlineStr">
        <is>
          <t>AIUserPersona</t>
        </is>
      </c>
      <c r="G66" s="15" t="inlineStr">
        <is>
          <t>任意</t>
        </is>
      </c>
      <c r="H66" s="20">
        <f>'入力フォーム'!E74</f>
        <v/>
      </c>
    </row>
    <row r="67" ht="28" customHeight="1">
      <c r="A67" s="15" t="n">
        <v>63</v>
      </c>
      <c r="B67" s="15" t="n">
        <v>7</v>
      </c>
      <c r="C67" s="15" t="inlineStr">
        <is>
          <t>AIユースケース候補</t>
        </is>
      </c>
      <c r="D67" s="15" t="inlineStr">
        <is>
          <t>F711</t>
        </is>
      </c>
      <c r="E67" s="15" t="inlineStr">
        <is>
          <t>ユースケース1：名称</t>
        </is>
      </c>
      <c r="F67" s="15" t="inlineStr">
        <is>
          <t>UseCase1Name</t>
        </is>
      </c>
      <c r="G67" s="15" t="inlineStr">
        <is>
          <t>必須</t>
        </is>
      </c>
      <c r="H67" s="20">
        <f>'入力フォーム'!E76</f>
        <v/>
      </c>
    </row>
    <row r="68" ht="28" customHeight="1">
      <c r="A68" s="15" t="n">
        <v>64</v>
      </c>
      <c r="B68" s="15" t="n">
        <v>7</v>
      </c>
      <c r="C68" s="15" t="inlineStr">
        <is>
          <t>AIユースケース候補</t>
        </is>
      </c>
      <c r="D68" s="15" t="inlineStr">
        <is>
          <t>F712</t>
        </is>
      </c>
      <c r="E68" s="15" t="inlineStr">
        <is>
          <t>ユースケース1：業務領域</t>
        </is>
      </c>
      <c r="F68" s="15" t="inlineStr">
        <is>
          <t>UseCase1Domain</t>
        </is>
      </c>
      <c r="G68" s="15" t="inlineStr">
        <is>
          <t>必須</t>
        </is>
      </c>
      <c r="H68" s="20">
        <f>'入力フォーム'!E77</f>
        <v/>
      </c>
    </row>
    <row r="69" ht="28" customHeight="1">
      <c r="A69" s="15" t="n">
        <v>65</v>
      </c>
      <c r="B69" s="15" t="n">
        <v>7</v>
      </c>
      <c r="C69" s="15" t="inlineStr">
        <is>
          <t>AIユースケース候補</t>
        </is>
      </c>
      <c r="D69" s="15" t="inlineStr">
        <is>
          <t>F713</t>
        </is>
      </c>
      <c r="E69" s="15" t="inlineStr">
        <is>
          <t>ユースケース1：優先度</t>
        </is>
      </c>
      <c r="F69" s="15" t="inlineStr">
        <is>
          <t>UseCase1Priority</t>
        </is>
      </c>
      <c r="G69" s="15" t="inlineStr">
        <is>
          <t>必須</t>
        </is>
      </c>
      <c r="H69" s="20">
        <f>'入力フォーム'!E78</f>
        <v/>
      </c>
    </row>
    <row r="70" ht="28" customHeight="1">
      <c r="A70" s="15" t="n">
        <v>66</v>
      </c>
      <c r="B70" s="15" t="n">
        <v>7</v>
      </c>
      <c r="C70" s="15" t="inlineStr">
        <is>
          <t>AIユースケース候補</t>
        </is>
      </c>
      <c r="D70" s="15" t="inlineStr">
        <is>
          <t>F714</t>
        </is>
      </c>
      <c r="E70" s="15" t="inlineStr">
        <is>
          <t>ユースケース1：利用シナリオ</t>
        </is>
      </c>
      <c r="F70" s="15" t="inlineStr">
        <is>
          <t>UseCase1Scenario</t>
        </is>
      </c>
      <c r="G70" s="15" t="inlineStr">
        <is>
          <t>必須</t>
        </is>
      </c>
      <c r="H70" s="20">
        <f>'入力フォーム'!E79</f>
        <v/>
      </c>
    </row>
    <row r="71" ht="28" customHeight="1">
      <c r="A71" s="15" t="n">
        <v>67</v>
      </c>
      <c r="B71" s="15" t="n">
        <v>7</v>
      </c>
      <c r="C71" s="15" t="inlineStr">
        <is>
          <t>AIユースケース候補</t>
        </is>
      </c>
      <c r="D71" s="15" t="inlineStr">
        <is>
          <t>F715</t>
        </is>
      </c>
      <c r="E71" s="15" t="inlineStr">
        <is>
          <t>ユースケース1：必要データ</t>
        </is>
      </c>
      <c r="F71" s="15" t="inlineStr">
        <is>
          <t>UseCase1RequiredData</t>
        </is>
      </c>
      <c r="G71" s="15" t="inlineStr">
        <is>
          <t>必須</t>
        </is>
      </c>
      <c r="H71" s="20">
        <f>'入力フォーム'!E80</f>
        <v/>
      </c>
    </row>
    <row r="72" ht="28" customHeight="1">
      <c r="A72" s="15" t="n">
        <v>68</v>
      </c>
      <c r="B72" s="15" t="n">
        <v>7</v>
      </c>
      <c r="C72" s="15" t="inlineStr">
        <is>
          <t>AIユースケース候補</t>
        </is>
      </c>
      <c r="D72" s="15" t="inlineStr">
        <is>
          <t>F716</t>
        </is>
      </c>
      <c r="E72" s="15" t="inlineStr">
        <is>
          <t>ユースケース1：想定AI技術</t>
        </is>
      </c>
      <c r="F72" s="15" t="inlineStr">
        <is>
          <t>UseCase1AITech</t>
        </is>
      </c>
      <c r="G72" s="15" t="inlineStr">
        <is>
          <t>任意</t>
        </is>
      </c>
      <c r="H72" s="20">
        <f>'入力フォーム'!E81</f>
        <v/>
      </c>
    </row>
    <row r="73" ht="28" customHeight="1">
      <c r="A73" s="15" t="n">
        <v>69</v>
      </c>
      <c r="B73" s="15" t="n">
        <v>7</v>
      </c>
      <c r="C73" s="15" t="inlineStr">
        <is>
          <t>AIユースケース候補</t>
        </is>
      </c>
      <c r="D73" s="15" t="inlineStr">
        <is>
          <t>F717</t>
        </is>
      </c>
      <c r="E73" s="15" t="inlineStr">
        <is>
          <t>ユースケース1：期待効果/KPI</t>
        </is>
      </c>
      <c r="F73" s="15" t="inlineStr">
        <is>
          <t>UseCase1ImpactKPI</t>
        </is>
      </c>
      <c r="G73" s="15" t="inlineStr">
        <is>
          <t>任意</t>
        </is>
      </c>
      <c r="H73" s="20">
        <f>'入力フォーム'!E82</f>
        <v/>
      </c>
    </row>
    <row r="74" ht="28" customHeight="1">
      <c r="A74" s="15" t="n">
        <v>70</v>
      </c>
      <c r="B74" s="15" t="n">
        <v>7</v>
      </c>
      <c r="C74" s="15" t="inlineStr">
        <is>
          <t>AIユースケース候補</t>
        </is>
      </c>
      <c r="D74" s="15" t="inlineStr">
        <is>
          <t>F721</t>
        </is>
      </c>
      <c r="E74" s="15" t="inlineStr">
        <is>
          <t>ユースケース2：名称</t>
        </is>
      </c>
      <c r="F74" s="15" t="inlineStr">
        <is>
          <t>UseCase2Name</t>
        </is>
      </c>
      <c r="G74" s="15" t="inlineStr">
        <is>
          <t>任意</t>
        </is>
      </c>
      <c r="H74" s="20">
        <f>'入力フォーム'!E83</f>
        <v/>
      </c>
    </row>
    <row r="75" ht="28" customHeight="1">
      <c r="A75" s="15" t="n">
        <v>71</v>
      </c>
      <c r="B75" s="15" t="n">
        <v>7</v>
      </c>
      <c r="C75" s="15" t="inlineStr">
        <is>
          <t>AIユースケース候補</t>
        </is>
      </c>
      <c r="D75" s="15" t="inlineStr">
        <is>
          <t>F722</t>
        </is>
      </c>
      <c r="E75" s="15" t="inlineStr">
        <is>
          <t>ユースケース2：業務領域</t>
        </is>
      </c>
      <c r="F75" s="15" t="inlineStr">
        <is>
          <t>UseCase2Domain</t>
        </is>
      </c>
      <c r="G75" s="15" t="inlineStr">
        <is>
          <t>任意</t>
        </is>
      </c>
      <c r="H75" s="20">
        <f>'入力フォーム'!E84</f>
        <v/>
      </c>
    </row>
    <row r="76" ht="28" customHeight="1">
      <c r="A76" s="15" t="n">
        <v>72</v>
      </c>
      <c r="B76" s="15" t="n">
        <v>7</v>
      </c>
      <c r="C76" s="15" t="inlineStr">
        <is>
          <t>AIユースケース候補</t>
        </is>
      </c>
      <c r="D76" s="15" t="inlineStr">
        <is>
          <t>F723</t>
        </is>
      </c>
      <c r="E76" s="15" t="inlineStr">
        <is>
          <t>ユースケース2：優先度</t>
        </is>
      </c>
      <c r="F76" s="15" t="inlineStr">
        <is>
          <t>UseCase2Priority</t>
        </is>
      </c>
      <c r="G76" s="15" t="inlineStr">
        <is>
          <t>任意</t>
        </is>
      </c>
      <c r="H76" s="20">
        <f>'入力フォーム'!E85</f>
        <v/>
      </c>
    </row>
    <row r="77" ht="28" customHeight="1">
      <c r="A77" s="15" t="n">
        <v>73</v>
      </c>
      <c r="B77" s="15" t="n">
        <v>7</v>
      </c>
      <c r="C77" s="15" t="inlineStr">
        <is>
          <t>AIユースケース候補</t>
        </is>
      </c>
      <c r="D77" s="15" t="inlineStr">
        <is>
          <t>F724</t>
        </is>
      </c>
      <c r="E77" s="15" t="inlineStr">
        <is>
          <t>ユースケース2：利用シナリオ</t>
        </is>
      </c>
      <c r="F77" s="15" t="inlineStr">
        <is>
          <t>UseCase2Scenario</t>
        </is>
      </c>
      <c r="G77" s="15" t="inlineStr">
        <is>
          <t>任意</t>
        </is>
      </c>
      <c r="H77" s="20">
        <f>'入力フォーム'!E86</f>
        <v/>
      </c>
    </row>
    <row r="78" ht="28" customHeight="1">
      <c r="A78" s="15" t="n">
        <v>74</v>
      </c>
      <c r="B78" s="15" t="n">
        <v>7</v>
      </c>
      <c r="C78" s="15" t="inlineStr">
        <is>
          <t>AIユースケース候補</t>
        </is>
      </c>
      <c r="D78" s="15" t="inlineStr">
        <is>
          <t>F725</t>
        </is>
      </c>
      <c r="E78" s="15" t="inlineStr">
        <is>
          <t>ユースケース2：必要データ</t>
        </is>
      </c>
      <c r="F78" s="15" t="inlineStr">
        <is>
          <t>UseCase2RequiredData</t>
        </is>
      </c>
      <c r="G78" s="15" t="inlineStr">
        <is>
          <t>任意</t>
        </is>
      </c>
      <c r="H78" s="20">
        <f>'入力フォーム'!E87</f>
        <v/>
      </c>
    </row>
    <row r="79" ht="28" customHeight="1">
      <c r="A79" s="15" t="n">
        <v>75</v>
      </c>
      <c r="B79" s="15" t="n">
        <v>7</v>
      </c>
      <c r="C79" s="15" t="inlineStr">
        <is>
          <t>AIユースケース候補</t>
        </is>
      </c>
      <c r="D79" s="15" t="inlineStr">
        <is>
          <t>F726</t>
        </is>
      </c>
      <c r="E79" s="15" t="inlineStr">
        <is>
          <t>ユースケース2：想定AI技術</t>
        </is>
      </c>
      <c r="F79" s="15" t="inlineStr">
        <is>
          <t>UseCase2AITech</t>
        </is>
      </c>
      <c r="G79" s="15" t="inlineStr">
        <is>
          <t>任意</t>
        </is>
      </c>
      <c r="H79" s="20">
        <f>'入力フォーム'!E88</f>
        <v/>
      </c>
    </row>
    <row r="80" ht="28" customHeight="1">
      <c r="A80" s="15" t="n">
        <v>76</v>
      </c>
      <c r="B80" s="15" t="n">
        <v>7</v>
      </c>
      <c r="C80" s="15" t="inlineStr">
        <is>
          <t>AIユースケース候補</t>
        </is>
      </c>
      <c r="D80" s="15" t="inlineStr">
        <is>
          <t>F727</t>
        </is>
      </c>
      <c r="E80" s="15" t="inlineStr">
        <is>
          <t>ユースケース2：期待効果/KPI</t>
        </is>
      </c>
      <c r="F80" s="15" t="inlineStr">
        <is>
          <t>UseCase2ImpactKPI</t>
        </is>
      </c>
      <c r="G80" s="15" t="inlineStr">
        <is>
          <t>任意</t>
        </is>
      </c>
      <c r="H80" s="20">
        <f>'入力フォーム'!E89</f>
        <v/>
      </c>
    </row>
    <row r="81" ht="28" customHeight="1">
      <c r="A81" s="15" t="n">
        <v>77</v>
      </c>
      <c r="B81" s="15" t="n">
        <v>7</v>
      </c>
      <c r="C81" s="15" t="inlineStr">
        <is>
          <t>AIユースケース候補</t>
        </is>
      </c>
      <c r="D81" s="15" t="inlineStr">
        <is>
          <t>F731</t>
        </is>
      </c>
      <c r="E81" s="15" t="inlineStr">
        <is>
          <t>ユースケース3：名称</t>
        </is>
      </c>
      <c r="F81" s="15" t="inlineStr">
        <is>
          <t>UseCase3Name</t>
        </is>
      </c>
      <c r="G81" s="15" t="inlineStr">
        <is>
          <t>任意</t>
        </is>
      </c>
      <c r="H81" s="20">
        <f>'入力フォーム'!E90</f>
        <v/>
      </c>
    </row>
    <row r="82" ht="28" customHeight="1">
      <c r="A82" s="15" t="n">
        <v>78</v>
      </c>
      <c r="B82" s="15" t="n">
        <v>7</v>
      </c>
      <c r="C82" s="15" t="inlineStr">
        <is>
          <t>AIユースケース候補</t>
        </is>
      </c>
      <c r="D82" s="15" t="inlineStr">
        <is>
          <t>F732</t>
        </is>
      </c>
      <c r="E82" s="15" t="inlineStr">
        <is>
          <t>ユースケース3：業務領域</t>
        </is>
      </c>
      <c r="F82" s="15" t="inlineStr">
        <is>
          <t>UseCase3Domain</t>
        </is>
      </c>
      <c r="G82" s="15" t="inlineStr">
        <is>
          <t>任意</t>
        </is>
      </c>
      <c r="H82" s="20">
        <f>'入力フォーム'!E91</f>
        <v/>
      </c>
    </row>
    <row r="83" ht="28" customHeight="1">
      <c r="A83" s="15" t="n">
        <v>79</v>
      </c>
      <c r="B83" s="15" t="n">
        <v>7</v>
      </c>
      <c r="C83" s="15" t="inlineStr">
        <is>
          <t>AIユースケース候補</t>
        </is>
      </c>
      <c r="D83" s="15" t="inlineStr">
        <is>
          <t>F733</t>
        </is>
      </c>
      <c r="E83" s="15" t="inlineStr">
        <is>
          <t>ユースケース3：優先度</t>
        </is>
      </c>
      <c r="F83" s="15" t="inlineStr">
        <is>
          <t>UseCase3Priority</t>
        </is>
      </c>
      <c r="G83" s="15" t="inlineStr">
        <is>
          <t>任意</t>
        </is>
      </c>
      <c r="H83" s="20">
        <f>'入力フォーム'!E92</f>
        <v/>
      </c>
    </row>
    <row r="84" ht="28" customHeight="1">
      <c r="A84" s="15" t="n">
        <v>80</v>
      </c>
      <c r="B84" s="15" t="n">
        <v>7</v>
      </c>
      <c r="C84" s="15" t="inlineStr">
        <is>
          <t>AIユースケース候補</t>
        </is>
      </c>
      <c r="D84" s="15" t="inlineStr">
        <is>
          <t>F734</t>
        </is>
      </c>
      <c r="E84" s="15" t="inlineStr">
        <is>
          <t>ユースケース3：利用シナリオ</t>
        </is>
      </c>
      <c r="F84" s="15" t="inlineStr">
        <is>
          <t>UseCase3Scenario</t>
        </is>
      </c>
      <c r="G84" s="15" t="inlineStr">
        <is>
          <t>任意</t>
        </is>
      </c>
      <c r="H84" s="20">
        <f>'入力フォーム'!E93</f>
        <v/>
      </c>
    </row>
    <row r="85" ht="28" customHeight="1">
      <c r="A85" s="15" t="n">
        <v>81</v>
      </c>
      <c r="B85" s="15" t="n">
        <v>7</v>
      </c>
      <c r="C85" s="15" t="inlineStr">
        <is>
          <t>AIユースケース候補</t>
        </is>
      </c>
      <c r="D85" s="15" t="inlineStr">
        <is>
          <t>F735</t>
        </is>
      </c>
      <c r="E85" s="15" t="inlineStr">
        <is>
          <t>ユースケース3：必要データ</t>
        </is>
      </c>
      <c r="F85" s="15" t="inlineStr">
        <is>
          <t>UseCase3RequiredData</t>
        </is>
      </c>
      <c r="G85" s="15" t="inlineStr">
        <is>
          <t>任意</t>
        </is>
      </c>
      <c r="H85" s="20">
        <f>'入力フォーム'!E94</f>
        <v/>
      </c>
    </row>
    <row r="86" ht="28" customHeight="1">
      <c r="A86" s="15" t="n">
        <v>82</v>
      </c>
      <c r="B86" s="15" t="n">
        <v>7</v>
      </c>
      <c r="C86" s="15" t="inlineStr">
        <is>
          <t>AIユースケース候補</t>
        </is>
      </c>
      <c r="D86" s="15" t="inlineStr">
        <is>
          <t>F736</t>
        </is>
      </c>
      <c r="E86" s="15" t="inlineStr">
        <is>
          <t>ユースケース3：想定AI技術</t>
        </is>
      </c>
      <c r="F86" s="15" t="inlineStr">
        <is>
          <t>UseCase3AITech</t>
        </is>
      </c>
      <c r="G86" s="15" t="inlineStr">
        <is>
          <t>任意</t>
        </is>
      </c>
      <c r="H86" s="20">
        <f>'入力フォーム'!E95</f>
        <v/>
      </c>
    </row>
    <row r="87" ht="28" customHeight="1">
      <c r="A87" s="15" t="n">
        <v>83</v>
      </c>
      <c r="B87" s="15" t="n">
        <v>7</v>
      </c>
      <c r="C87" s="15" t="inlineStr">
        <is>
          <t>AIユースケース候補</t>
        </is>
      </c>
      <c r="D87" s="15" t="inlineStr">
        <is>
          <t>F737</t>
        </is>
      </c>
      <c r="E87" s="15" t="inlineStr">
        <is>
          <t>ユースケース3：期待効果/KPI</t>
        </is>
      </c>
      <c r="F87" s="15" t="inlineStr">
        <is>
          <t>UseCase3ImpactKPI</t>
        </is>
      </c>
      <c r="G87" s="15" t="inlineStr">
        <is>
          <t>任意</t>
        </is>
      </c>
      <c r="H87" s="20">
        <f>'入力フォーム'!E96</f>
        <v/>
      </c>
    </row>
    <row r="88" ht="28" customHeight="1">
      <c r="A88" s="15" t="n">
        <v>84</v>
      </c>
      <c r="B88" s="15" t="n">
        <v>8</v>
      </c>
      <c r="C88" s="15" t="inlineStr">
        <is>
          <t>技術・OCI期待範囲</t>
        </is>
      </c>
      <c r="D88" s="15" t="inlineStr">
        <is>
          <t>F801</t>
        </is>
      </c>
      <c r="E88" s="15" t="inlineStr">
        <is>
          <t>現行アーキテクチャ概要</t>
        </is>
      </c>
      <c r="F88" s="15" t="inlineStr">
        <is>
          <t>CurrentArchitecture</t>
        </is>
      </c>
      <c r="G88" s="15" t="inlineStr">
        <is>
          <t>任意</t>
        </is>
      </c>
      <c r="H88" s="20">
        <f>'入力フォーム'!E98</f>
        <v/>
      </c>
    </row>
    <row r="89" ht="28" customHeight="1">
      <c r="A89" s="15" t="n">
        <v>85</v>
      </c>
      <c r="B89" s="15" t="n">
        <v>8</v>
      </c>
      <c r="C89" s="15" t="inlineStr">
        <is>
          <t>技術・OCI期待範囲</t>
        </is>
      </c>
      <c r="D89" s="15" t="inlineStr">
        <is>
          <t>F802</t>
        </is>
      </c>
      <c r="E89" s="15" t="inlineStr">
        <is>
          <t>利用中クラウド/基盤</t>
        </is>
      </c>
      <c r="F89" s="15" t="inlineStr">
        <is>
          <t>CurrentCloudPlatform</t>
        </is>
      </c>
      <c r="G89" s="15" t="inlineStr">
        <is>
          <t>任意</t>
        </is>
      </c>
      <c r="H89" s="20">
        <f>'入力フォーム'!E99</f>
        <v/>
      </c>
    </row>
    <row r="90" ht="28" customHeight="1">
      <c r="A90" s="15" t="n">
        <v>86</v>
      </c>
      <c r="B90" s="15" t="n">
        <v>8</v>
      </c>
      <c r="C90" s="15" t="inlineStr">
        <is>
          <t>技術・OCI期待範囲</t>
        </is>
      </c>
      <c r="D90" s="15" t="inlineStr">
        <is>
          <t>F803</t>
        </is>
      </c>
      <c r="E90" s="15" t="inlineStr">
        <is>
          <t>利用中DB/データ基盤</t>
        </is>
      </c>
      <c r="F90" s="15" t="inlineStr">
        <is>
          <t>CurrentDBPlatform</t>
        </is>
      </c>
      <c r="G90" s="15" t="inlineStr">
        <is>
          <t>任意</t>
        </is>
      </c>
      <c r="H90" s="20">
        <f>'入力フォーム'!E100</f>
        <v/>
      </c>
    </row>
    <row r="91" ht="28" customHeight="1">
      <c r="A91" s="15" t="n">
        <v>87</v>
      </c>
      <c r="B91" s="15" t="n">
        <v>8</v>
      </c>
      <c r="C91" s="15" t="inlineStr">
        <is>
          <t>技術・OCI期待範囲</t>
        </is>
      </c>
      <c r="D91" s="15" t="inlineStr">
        <is>
          <t>F804</t>
        </is>
      </c>
      <c r="E91" s="15" t="inlineStr">
        <is>
          <t>API・認証・外部連携</t>
        </is>
      </c>
      <c r="F91" s="15" t="inlineStr">
        <is>
          <t>APIAuthIntegration</t>
        </is>
      </c>
      <c r="G91" s="15" t="inlineStr">
        <is>
          <t>任意</t>
        </is>
      </c>
      <c r="H91" s="20">
        <f>'入力フォーム'!E101</f>
        <v/>
      </c>
    </row>
    <row r="92" ht="28" customHeight="1">
      <c r="A92" s="15" t="n">
        <v>88</v>
      </c>
      <c r="B92" s="15" t="n">
        <v>8</v>
      </c>
      <c r="C92" s="15" t="inlineStr">
        <is>
          <t>技術・OCI期待範囲</t>
        </is>
      </c>
      <c r="D92" s="15" t="inlineStr">
        <is>
          <t>F805</t>
        </is>
      </c>
      <c r="E92" s="15" t="inlineStr">
        <is>
          <t>OCI上で求める範囲</t>
        </is>
      </c>
      <c r="F92" s="15" t="inlineStr">
        <is>
          <t>OCIScope</t>
        </is>
      </c>
      <c r="G92" s="15" t="inlineStr">
        <is>
          <t>任意</t>
        </is>
      </c>
      <c r="H92" s="20">
        <f>'入力フォーム'!E102</f>
        <v/>
      </c>
    </row>
    <row r="93" ht="28" customHeight="1">
      <c r="A93" s="15" t="n">
        <v>89</v>
      </c>
      <c r="B93" s="15" t="n">
        <v>8</v>
      </c>
      <c r="C93" s="15" t="inlineStr">
        <is>
          <t>技術・OCI期待範囲</t>
        </is>
      </c>
      <c r="D93" s="15" t="inlineStr">
        <is>
          <t>F806</t>
        </is>
      </c>
      <c r="E93" s="15" t="inlineStr">
        <is>
          <t>非機能要件</t>
        </is>
      </c>
      <c r="F93" s="15" t="inlineStr">
        <is>
          <t>NonFunctionalRequirements</t>
        </is>
      </c>
      <c r="G93" s="15" t="inlineStr">
        <is>
          <t>任意</t>
        </is>
      </c>
      <c r="H93" s="20">
        <f>'入力フォーム'!E103</f>
        <v/>
      </c>
    </row>
    <row r="94" ht="28" customHeight="1">
      <c r="A94" s="15" t="n">
        <v>90</v>
      </c>
      <c r="B94" s="15" t="n">
        <v>8</v>
      </c>
      <c r="C94" s="15" t="inlineStr">
        <is>
          <t>技術・OCI期待範囲</t>
        </is>
      </c>
      <c r="D94" s="15" t="inlineStr">
        <is>
          <t>F807</t>
        </is>
      </c>
      <c r="E94" s="15" t="inlineStr">
        <is>
          <t>既存制約・移行条件</t>
        </is>
      </c>
      <c r="F94" s="15" t="inlineStr">
        <is>
          <t>ExistingConstraints</t>
        </is>
      </c>
      <c r="G94" s="15" t="inlineStr">
        <is>
          <t>任意</t>
        </is>
      </c>
      <c r="H94" s="20">
        <f>'入力フォーム'!E104</f>
        <v/>
      </c>
    </row>
    <row r="95" ht="28" customHeight="1">
      <c r="A95" s="15" t="n">
        <v>91</v>
      </c>
      <c r="B95" s="15" t="n">
        <v>8</v>
      </c>
      <c r="C95" s="15" t="inlineStr">
        <is>
          <t>技術・OCI期待範囲</t>
        </is>
      </c>
      <c r="D95" s="15" t="inlineStr">
        <is>
          <t>F808</t>
        </is>
      </c>
      <c r="E95" s="15" t="inlineStr">
        <is>
          <t>Oracle/OCIに相談したいこと</t>
        </is>
      </c>
      <c r="F95" s="15" t="inlineStr">
        <is>
          <t>OracleQuestions</t>
        </is>
      </c>
      <c r="G95" s="15" t="inlineStr">
        <is>
          <t>任意</t>
        </is>
      </c>
      <c r="H95" s="20">
        <f>'入力フォーム'!E105</f>
        <v/>
      </c>
    </row>
    <row r="96" ht="28" customHeight="1">
      <c r="A96" s="15" t="n">
        <v>92</v>
      </c>
      <c r="B96" s="15" t="n">
        <v>9</v>
      </c>
      <c r="C96" s="15" t="inlineStr">
        <is>
          <t>セキュリティ / ガバナンス</t>
        </is>
      </c>
      <c r="D96" s="15" t="inlineStr">
        <is>
          <t>F901</t>
        </is>
      </c>
      <c r="E96" s="15" t="inlineStr">
        <is>
          <t>セキュリティ要件</t>
        </is>
      </c>
      <c r="F96" s="15" t="inlineStr">
        <is>
          <t>SecurityRequirements</t>
        </is>
      </c>
      <c r="G96" s="15" t="inlineStr">
        <is>
          <t>任意</t>
        </is>
      </c>
      <c r="H96" s="20">
        <f>'入力フォーム'!E107</f>
        <v/>
      </c>
    </row>
    <row r="97" ht="28" customHeight="1">
      <c r="A97" s="15" t="n">
        <v>93</v>
      </c>
      <c r="B97" s="15" t="n">
        <v>9</v>
      </c>
      <c r="C97" s="15" t="inlineStr">
        <is>
          <t>セキュリティ / ガバナンス</t>
        </is>
      </c>
      <c r="D97" s="15" t="inlineStr">
        <is>
          <t>F902</t>
        </is>
      </c>
      <c r="E97" s="15" t="inlineStr">
        <is>
          <t>法規制・コンプライアンス</t>
        </is>
      </c>
      <c r="F97" s="15" t="inlineStr">
        <is>
          <t>ComplianceRequirements</t>
        </is>
      </c>
      <c r="G97" s="15" t="inlineStr">
        <is>
          <t>任意</t>
        </is>
      </c>
      <c r="H97" s="20">
        <f>'入力フォーム'!E108</f>
        <v/>
      </c>
    </row>
    <row r="98" ht="28" customHeight="1">
      <c r="A98" s="15" t="n">
        <v>94</v>
      </c>
      <c r="B98" s="15" t="n">
        <v>9</v>
      </c>
      <c r="C98" s="15" t="inlineStr">
        <is>
          <t>セキュリティ / ガバナンス</t>
        </is>
      </c>
      <c r="D98" s="15" t="inlineStr">
        <is>
          <t>F903</t>
        </is>
      </c>
      <c r="E98" s="15" t="inlineStr">
        <is>
          <t>AI利用上の懸念・NG領域</t>
        </is>
      </c>
      <c r="F98" s="15" t="inlineStr">
        <is>
          <t>AIRisksNG</t>
        </is>
      </c>
      <c r="G98" s="15" t="inlineStr">
        <is>
          <t>任意</t>
        </is>
      </c>
      <c r="H98" s="20">
        <f>'入力フォーム'!E109</f>
        <v/>
      </c>
    </row>
    <row r="99" ht="28" customHeight="1">
      <c r="A99" s="15" t="n">
        <v>95</v>
      </c>
      <c r="B99" s="15" t="n">
        <v>9</v>
      </c>
      <c r="C99" s="15" t="inlineStr">
        <is>
          <t>セキュリティ / ガバナンス</t>
        </is>
      </c>
      <c r="D99" s="15" t="inlineStr">
        <is>
          <t>F904</t>
        </is>
      </c>
      <c r="E99" s="15" t="inlineStr">
        <is>
          <t>監査・ログ・運用管理</t>
        </is>
      </c>
      <c r="F99" s="15" t="inlineStr">
        <is>
          <t>AuditMonitoring</t>
        </is>
      </c>
      <c r="G99" s="15" t="inlineStr">
        <is>
          <t>任意</t>
        </is>
      </c>
      <c r="H99" s="20">
        <f>'入力フォーム'!E110</f>
        <v/>
      </c>
    </row>
    <row r="100" ht="28" customHeight="1">
      <c r="A100" s="15" t="n">
        <v>96</v>
      </c>
      <c r="B100" s="15" t="n">
        <v>9</v>
      </c>
      <c r="C100" s="15" t="inlineStr">
        <is>
          <t>セキュリティ / ガバナンス</t>
        </is>
      </c>
      <c r="D100" s="15" t="inlineStr">
        <is>
          <t>F905</t>
        </is>
      </c>
      <c r="E100" s="15" t="inlineStr">
        <is>
          <t>本番データ利用可能性</t>
        </is>
      </c>
      <c r="F100" s="15" t="inlineStr">
        <is>
          <t>ProductionDataAvailability</t>
        </is>
      </c>
      <c r="G100" s="15" t="inlineStr">
        <is>
          <t>任意</t>
        </is>
      </c>
      <c r="H100" s="20">
        <f>'入力フォーム'!E111</f>
        <v/>
      </c>
    </row>
    <row r="101" ht="28" customHeight="1">
      <c r="A101" s="15" t="n">
        <v>97</v>
      </c>
      <c r="B101" s="15" t="n">
        <v>9</v>
      </c>
      <c r="C101" s="15" t="inlineStr">
        <is>
          <t>セキュリティ / ガバナンス</t>
        </is>
      </c>
      <c r="D101" s="15" t="inlineStr">
        <is>
          <t>F906</t>
        </is>
      </c>
      <c r="E101" s="15" t="inlineStr">
        <is>
          <t>生成AI利用に関する社内承認状況</t>
        </is>
      </c>
      <c r="F101" s="15" t="inlineStr">
        <is>
          <t>GenAIApprovalStatus</t>
        </is>
      </c>
      <c r="G101" s="15" t="inlineStr">
        <is>
          <t>任意</t>
        </is>
      </c>
      <c r="H101" s="20">
        <f>'入力フォーム'!E112</f>
        <v/>
      </c>
    </row>
    <row r="102" ht="28" customHeight="1">
      <c r="A102" s="15" t="n">
        <v>98</v>
      </c>
      <c r="B102" s="15" t="n">
        <v>10</v>
      </c>
      <c r="C102" s="15" t="inlineStr">
        <is>
          <t>PoC・評価条件・提出資料</t>
        </is>
      </c>
      <c r="D102" s="15" t="inlineStr">
        <is>
          <t>F1001</t>
        </is>
      </c>
      <c r="E102" s="15" t="inlineStr">
        <is>
          <t>PoC対象顧客・対象業務</t>
        </is>
      </c>
      <c r="F102" s="15" t="inlineStr">
        <is>
          <t>PoCTarget</t>
        </is>
      </c>
      <c r="G102" s="15" t="inlineStr">
        <is>
          <t>任意</t>
        </is>
      </c>
      <c r="H102" s="20">
        <f>'入力フォーム'!E114</f>
        <v/>
      </c>
    </row>
    <row r="103" ht="28" customHeight="1">
      <c r="A103" s="15" t="n">
        <v>99</v>
      </c>
      <c r="B103" s="15" t="n">
        <v>10</v>
      </c>
      <c r="C103" s="15" t="inlineStr">
        <is>
          <t>PoC・評価条件・提出資料</t>
        </is>
      </c>
      <c r="D103" s="15" t="inlineStr">
        <is>
          <t>F1002</t>
        </is>
      </c>
      <c r="E103" s="15" t="inlineStr">
        <is>
          <t>評価指標・本番化判断基準</t>
        </is>
      </c>
      <c r="F103" s="15" t="inlineStr">
        <is>
          <t>PoCEvaluationCriteria</t>
        </is>
      </c>
      <c r="G103" s="15" t="inlineStr">
        <is>
          <t>任意</t>
        </is>
      </c>
      <c r="H103" s="20">
        <f>'入力フォーム'!E115</f>
        <v/>
      </c>
    </row>
    <row r="104" ht="28" customHeight="1">
      <c r="A104" s="15" t="n">
        <v>100</v>
      </c>
      <c r="B104" s="15" t="n">
        <v>10</v>
      </c>
      <c r="C104" s="15" t="inlineStr">
        <is>
          <t>PoC・評価条件・提出資料</t>
        </is>
      </c>
      <c r="D104" s="15" t="inlineStr">
        <is>
          <t>F1003</t>
        </is>
      </c>
      <c r="E104" s="15" t="inlineStr">
        <is>
          <t>希望スケジュール</t>
        </is>
      </c>
      <c r="F104" s="15" t="inlineStr">
        <is>
          <t>DesiredTimeline</t>
        </is>
      </c>
      <c r="G104" s="15" t="inlineStr">
        <is>
          <t>任意</t>
        </is>
      </c>
      <c r="H104" s="20">
        <f>'入力フォーム'!E116</f>
        <v/>
      </c>
    </row>
    <row r="105" ht="28" customHeight="1">
      <c r="A105" s="15" t="n">
        <v>101</v>
      </c>
      <c r="B105" s="15" t="n">
        <v>10</v>
      </c>
      <c r="C105" s="15" t="inlineStr">
        <is>
          <t>PoC・評価条件・提出資料</t>
        </is>
      </c>
      <c r="D105" s="15" t="inlineStr">
        <is>
          <t>F1004</t>
        </is>
      </c>
      <c r="E105" s="15" t="inlineStr">
        <is>
          <t>意思決定者・関係者</t>
        </is>
      </c>
      <c r="F105" s="15" t="inlineStr">
        <is>
          <t>DecisionMakers</t>
        </is>
      </c>
      <c r="G105" s="15" t="inlineStr">
        <is>
          <t>任意</t>
        </is>
      </c>
      <c r="H105" s="20">
        <f>'入力フォーム'!E117</f>
        <v/>
      </c>
    </row>
    <row r="106" ht="28" customHeight="1">
      <c r="A106" s="15" t="n">
        <v>102</v>
      </c>
      <c r="B106" s="15" t="n">
        <v>10</v>
      </c>
      <c r="C106" s="15" t="inlineStr">
        <is>
          <t>PoC・評価条件・提出資料</t>
        </is>
      </c>
      <c r="D106" s="15" t="inlineStr">
        <is>
          <t>F1005</t>
        </is>
      </c>
      <c r="E106" s="15" t="inlineStr">
        <is>
          <t>Oracleへの期待・相談事項</t>
        </is>
      </c>
      <c r="F106" s="15" t="inlineStr">
        <is>
          <t>OracleExpectations</t>
        </is>
      </c>
      <c r="G106" s="15" t="inlineStr">
        <is>
          <t>任意</t>
        </is>
      </c>
      <c r="H106" s="20">
        <f>'入力フォーム'!E118</f>
        <v/>
      </c>
    </row>
    <row r="107" ht="28" customHeight="1">
      <c r="A107" s="15" t="n">
        <v>103</v>
      </c>
      <c r="B107" s="15" t="n">
        <v>10</v>
      </c>
      <c r="C107" s="15" t="inlineStr">
        <is>
          <t>PoC・評価条件・提出資料</t>
        </is>
      </c>
      <c r="D107" s="15" t="inlineStr">
        <is>
          <t>F1006</t>
        </is>
      </c>
      <c r="E107" s="15" t="inlineStr">
        <is>
          <t>アセスメント後に希望する次アクション</t>
        </is>
      </c>
      <c r="F107" s="15" t="inlineStr">
        <is>
          <t>NextAction</t>
        </is>
      </c>
      <c r="G107" s="15" t="inlineStr">
        <is>
          <t>任意</t>
        </is>
      </c>
      <c r="H107" s="20">
        <f>'入力フォーム'!E119</f>
        <v/>
      </c>
    </row>
    <row r="108" ht="28" customHeight="1">
      <c r="A108" s="15" t="n">
        <v>104</v>
      </c>
      <c r="B108" s="15" t="n">
        <v>10</v>
      </c>
      <c r="C108" s="15" t="inlineStr">
        <is>
          <t>PoC・評価条件・提出資料</t>
        </is>
      </c>
      <c r="D108" s="15" t="inlineStr">
        <is>
          <t>F1007</t>
        </is>
      </c>
      <c r="E108" s="15" t="inlineStr">
        <is>
          <t>提出予定資料</t>
        </is>
      </c>
      <c r="F108" s="15" t="inlineStr">
        <is>
          <t>PlannedAttachments</t>
        </is>
      </c>
      <c r="G108" s="15" t="inlineStr">
        <is>
          <t>任意</t>
        </is>
      </c>
      <c r="H108" s="20">
        <f>'入力フォーム'!E120</f>
        <v/>
      </c>
    </row>
    <row r="109" ht="28" customHeight="1">
      <c r="A109" s="15" t="n">
        <v>105</v>
      </c>
      <c r="B109" s="15" t="n">
        <v>10</v>
      </c>
      <c r="C109" s="15" t="inlineStr">
        <is>
          <t>PoC・評価条件・提出資料</t>
        </is>
      </c>
      <c r="D109" s="15" t="inlineStr">
        <is>
          <t>F1008</t>
        </is>
      </c>
      <c r="E109" s="15" t="inlineStr">
        <is>
          <t>関連資料アップロード</t>
        </is>
      </c>
      <c r="F109" s="15" t="inlineStr">
        <is>
          <t>AttachmentLinks</t>
        </is>
      </c>
      <c r="G109" s="15" t="inlineStr">
        <is>
          <t>任意</t>
        </is>
      </c>
      <c r="H109" s="20">
        <f>'入力フォーム'!E121</f>
        <v/>
      </c>
    </row>
    <row r="110" ht="28" customHeight="1">
      <c r="A110" s="15" t="n">
        <v>106</v>
      </c>
      <c r="B110" s="15" t="n">
        <v>10</v>
      </c>
      <c r="C110" s="15" t="inlineStr">
        <is>
          <t>PoC・評価条件・提出資料</t>
        </is>
      </c>
      <c r="D110" s="15" t="inlineStr">
        <is>
          <t>F1009</t>
        </is>
      </c>
      <c r="E110" s="15" t="inlineStr">
        <is>
          <t>その他補足</t>
        </is>
      </c>
      <c r="F110" s="15" t="inlineStr">
        <is>
          <t>AdditionalNotes</t>
        </is>
      </c>
      <c r="G110" s="15" t="inlineStr">
        <is>
          <t>任意</t>
        </is>
      </c>
      <c r="H110" s="20">
        <f>'入力フォーム'!E122</f>
        <v/>
      </c>
    </row>
    <row r="111" ht="28" customHeight="1">
      <c r="A111" s="15" t="n">
        <v>107</v>
      </c>
      <c r="B111" s="15" t="n">
        <v>10</v>
      </c>
      <c r="C111" s="15" t="inlineStr">
        <is>
          <t>PoC・評価条件・提出資料</t>
        </is>
      </c>
      <c r="D111" s="15" t="inlineStr">
        <is>
          <t>F1010</t>
        </is>
      </c>
      <c r="E111" s="15" t="inlineStr">
        <is>
          <t>入力内容のOracle担当者・事務局への共有可否</t>
        </is>
      </c>
      <c r="F111" s="15" t="inlineStr">
        <is>
          <t>SharePermission</t>
        </is>
      </c>
      <c r="G111" s="15" t="inlineStr">
        <is>
          <t>必須</t>
        </is>
      </c>
      <c r="H111" s="20">
        <f>'入力フォーム'!E123</f>
        <v/>
      </c>
    </row>
  </sheetData>
  <autoFilter ref="A4:H111"/>
  <mergeCells count="2">
    <mergeCell ref="A2:H2"/>
    <mergeCell ref="A1:H1"/>
  </mergeCells>
  <pageMargins left="0.3" right="0.3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90" customWidth="1" min="3" max="3"/>
    <col width="40" customWidth="1" min="4" max="4"/>
  </cols>
  <sheetData>
    <row r="1" ht="34" customHeight="1">
      <c r="A1" s="1" t="inlineStr">
        <is>
          <t>入力例_エクス</t>
        </is>
      </c>
    </row>
    <row r="2" ht="34" customHeight="1">
      <c r="A2" s="2" t="inlineStr">
        <is>
          <t>service_input.txtの内容をもとにした入力例です。実際の回答は各社の状況に合わせて変更してください。</t>
        </is>
      </c>
    </row>
    <row r="4">
      <c r="A4" s="3" t="inlineStr">
        <is>
          <t>質問ID</t>
        </is>
      </c>
      <c r="B4" s="3" t="inlineStr">
        <is>
          <t>設問</t>
        </is>
      </c>
      <c r="C4" s="3" t="inlineStr">
        <is>
          <t>入力例</t>
        </is>
      </c>
      <c r="D4" s="3" t="inlineStr">
        <is>
          <t>出典メモ</t>
        </is>
      </c>
    </row>
    <row r="5" ht="32" customHeight="1">
      <c r="A5" s="21" t="inlineStr">
        <is>
          <t>F001</t>
        </is>
      </c>
      <c r="B5" s="21" t="inlineStr">
        <is>
          <t>情報利用目的を確認しましたか？</t>
        </is>
      </c>
      <c r="C5" s="20" t="inlineStr"/>
      <c r="D5" s="21" t="inlineStr"/>
    </row>
    <row r="6" ht="32" customHeight="1">
      <c r="A6" s="21" t="inlineStr">
        <is>
          <t>F002</t>
        </is>
      </c>
      <c r="B6" s="21" t="inlineStr">
        <is>
          <t>本番データ・顧客機密データ・個人情報をアップロードしないことを確認しましたか？</t>
        </is>
      </c>
      <c r="C6" s="20" t="inlineStr"/>
      <c r="D6" s="21" t="inlineStr"/>
    </row>
    <row r="7" ht="32" customHeight="1">
      <c r="A7" s="21" t="inlineStr">
        <is>
          <t>F101</t>
        </is>
      </c>
      <c r="B7" s="21" t="inlineStr">
        <is>
          <t>会社名</t>
        </is>
      </c>
      <c r="C7" s="20" t="inlineStr">
        <is>
          <t>株式会社エクス</t>
        </is>
      </c>
      <c r="D7" s="21" t="inlineStr">
        <is>
          <t>service_input.txt / HTMLフォームのサンプル値を要約</t>
        </is>
      </c>
    </row>
    <row r="8" ht="32" customHeight="1">
      <c r="A8" s="21" t="inlineStr">
        <is>
          <t>F102</t>
        </is>
      </c>
      <c r="B8" s="21" t="inlineStr">
        <is>
          <t>会社URL</t>
        </is>
      </c>
      <c r="C8" s="20" t="inlineStr">
        <is>
          <t>https://www.xeex.co.jp/</t>
        </is>
      </c>
      <c r="D8" s="21" t="inlineStr">
        <is>
          <t>service_input.txt / HTMLフォームのサンプル値を要約</t>
        </is>
      </c>
    </row>
    <row r="9" ht="72" customHeight="1">
      <c r="A9" s="21" t="inlineStr">
        <is>
          <t>F103</t>
        </is>
      </c>
      <c r="B9" s="21" t="inlineStr">
        <is>
          <t>事業概要</t>
        </is>
      </c>
      <c r="C9" s="20" t="inlineStr">
        <is>
          <t>製造業向けの生産管理パッケージを中核に、製造業向けクラウドサービス/プラットフォーム、DX関連サービス、導入コンサルティング、カスタマイズ開発、稼働支援、保守を提供するソフトウェアベンダー。</t>
        </is>
      </c>
      <c r="D9" s="21" t="inlineStr">
        <is>
          <t>service_input.txt / HTMLフォームのサンプル値を要約</t>
        </is>
      </c>
    </row>
    <row r="10" ht="32" customHeight="1">
      <c r="A10" s="21" t="inlineStr">
        <is>
          <t>F104</t>
        </is>
      </c>
      <c r="B10" s="21" t="inlineStr">
        <is>
          <t>主な顧客像</t>
        </is>
      </c>
      <c r="C10" s="20" t="inlineStr">
        <is>
          <t>中堅・中小の製造業。生産管理、購買、在庫、現場、販売管理などの部門が主な利用者。</t>
        </is>
      </c>
      <c r="D10" s="21" t="inlineStr">
        <is>
          <t>service_input.txt / HTMLフォームのサンプル値を要約</t>
        </is>
      </c>
    </row>
    <row r="11" ht="32" customHeight="1">
      <c r="A11" s="21" t="inlineStr">
        <is>
          <t>F105</t>
        </is>
      </c>
      <c r="B11" s="21" t="inlineStr">
        <is>
          <t>対象業種・業態</t>
        </is>
      </c>
      <c r="C11" s="20" t="inlineStr">
        <is>
          <t>製造業;生産管理;販売管理;サプライチェーン;調達・購買</t>
        </is>
      </c>
      <c r="D11" s="21" t="inlineStr">
        <is>
          <t>service_input.txt / HTMLフォームのサンプル値を要約</t>
        </is>
      </c>
    </row>
    <row r="12" ht="32" customHeight="1">
      <c r="A12" s="21" t="inlineStr">
        <is>
          <t>F106</t>
        </is>
      </c>
      <c r="B12" s="21" t="inlineStr">
        <is>
          <t>自社の強み・保有IP</t>
        </is>
      </c>
      <c r="C12" s="20" t="inlineStr">
        <is>
          <t>生産・販売統合型の業務ロジック、製造業向けマスタ/実績データ、導入実績、周辺DXソリューションとの接続可能性。</t>
        </is>
      </c>
      <c r="D12" s="21" t="inlineStr">
        <is>
          <t>service_input.txt / HTMLフォームのサンプル値を要約</t>
        </is>
      </c>
    </row>
    <row r="13" ht="32" customHeight="1">
      <c r="A13" s="21" t="inlineStr">
        <is>
          <t>F107</t>
        </is>
      </c>
      <c r="B13" s="21" t="inlineStr">
        <is>
          <t>入力者氏名</t>
        </is>
      </c>
      <c r="C13" s="20" t="inlineStr"/>
      <c r="D13" s="21" t="inlineStr"/>
    </row>
    <row r="14" ht="32" customHeight="1">
      <c r="A14" s="21" t="inlineStr">
        <is>
          <t>F108</t>
        </is>
      </c>
      <c r="B14" s="21" t="inlineStr">
        <is>
          <t>入力者メール</t>
        </is>
      </c>
      <c r="C14" s="20" t="inlineStr"/>
      <c r="D14" s="21" t="inlineStr"/>
    </row>
    <row r="15" ht="32" customHeight="1">
      <c r="A15" s="21" t="inlineStr">
        <is>
          <t>F109</t>
        </is>
      </c>
      <c r="B15" s="21" t="inlineStr">
        <is>
          <t>入力者所属/役職</t>
        </is>
      </c>
      <c r="C15" s="20" t="inlineStr"/>
      <c r="D15" s="21" t="inlineStr"/>
    </row>
    <row r="16" ht="32" customHeight="1">
      <c r="A16" s="21" t="inlineStr">
        <is>
          <t>F201</t>
        </is>
      </c>
      <c r="B16" s="21" t="inlineStr">
        <is>
          <t>今回のAssessment対象範囲</t>
        </is>
      </c>
      <c r="C16" s="20" t="inlineStr"/>
      <c r="D16" s="21" t="inlineStr"/>
    </row>
    <row r="17" ht="32" customHeight="1">
      <c r="A17" s="21" t="inlineStr">
        <is>
          <t>F202</t>
        </is>
      </c>
      <c r="B17" s="21" t="inlineStr">
        <is>
          <t>対象プロジェクト数</t>
        </is>
      </c>
      <c r="C17" s="20" t="inlineStr"/>
      <c r="D17" s="21" t="inlineStr"/>
    </row>
    <row r="18" ht="32" customHeight="1">
      <c r="A18" s="21" t="inlineStr">
        <is>
          <t>F211</t>
        </is>
      </c>
      <c r="B18" s="21" t="inlineStr">
        <is>
          <t>プロジェクト1：プロジェクト/製品名</t>
        </is>
      </c>
      <c r="C18" s="20" t="inlineStr">
        <is>
          <t>Factory-ONE 電脳工場 データ活用</t>
        </is>
      </c>
      <c r="D18" s="21" t="inlineStr">
        <is>
          <t>service_input.txt / HTMLフォームのサンプル値を要約</t>
        </is>
      </c>
    </row>
    <row r="19" ht="32" customHeight="1">
      <c r="A19" s="21" t="inlineStr">
        <is>
          <t>F212</t>
        </is>
      </c>
      <c r="B19" s="21" t="inlineStr">
        <is>
          <t>プロジェクト1：段階</t>
        </is>
      </c>
      <c r="C19" s="20" t="inlineStr">
        <is>
          <t>本番運用中</t>
        </is>
      </c>
      <c r="D19" s="21" t="inlineStr">
        <is>
          <t>service_input.txt / HTMLフォームのサンプル値を要約</t>
        </is>
      </c>
    </row>
    <row r="20" ht="32" customHeight="1">
      <c r="A20" s="21" t="inlineStr">
        <is>
          <t>F213</t>
        </is>
      </c>
      <c r="B20" s="21" t="inlineStr">
        <is>
          <t>プロジェクト1：優先度</t>
        </is>
      </c>
      <c r="C20" s="20" t="inlineStr">
        <is>
          <t>高</t>
        </is>
      </c>
      <c r="D20" s="21" t="inlineStr">
        <is>
          <t>service_input.txt / HTMLフォームのサンプル値を要約</t>
        </is>
      </c>
    </row>
    <row r="21" ht="32" customHeight="1">
      <c r="A21" s="21" t="inlineStr">
        <is>
          <t>F214</t>
        </is>
      </c>
      <c r="B21" s="21" t="inlineStr">
        <is>
          <t>プロジェクト1：AI活用の狙い・確認したいこと</t>
        </is>
      </c>
      <c r="C21" s="20" t="inlineStr">
        <is>
          <t>既存データを活用し、需給・在庫、生産計画、原価・調達のAIユースケースを検討する。</t>
        </is>
      </c>
      <c r="D21" s="21" t="inlineStr">
        <is>
          <t>service_input.txt / HTMLフォームのサンプル値を要約</t>
        </is>
      </c>
    </row>
    <row r="22" ht="32" customHeight="1">
      <c r="A22" s="21" t="inlineStr">
        <is>
          <t>F221</t>
        </is>
      </c>
      <c r="B22" s="21" t="inlineStr">
        <is>
          <t>プロジェクト2：プロジェクト/製品名</t>
        </is>
      </c>
      <c r="C22" s="20" t="inlineStr">
        <is>
          <t>こうばWith</t>
        </is>
      </c>
      <c r="D22" s="21" t="inlineStr">
        <is>
          <t>service_input.txt / HTMLフォームのサンプル値を要約</t>
        </is>
      </c>
    </row>
    <row r="23" ht="32" customHeight="1">
      <c r="A23" s="21" t="inlineStr">
        <is>
          <t>F222</t>
        </is>
      </c>
      <c r="B23" s="21" t="inlineStr">
        <is>
          <t>プロジェクト2：段階</t>
        </is>
      </c>
      <c r="C23" s="20" t="inlineStr">
        <is>
          <t>本番環境構築中</t>
        </is>
      </c>
      <c r="D23" s="21" t="inlineStr">
        <is>
          <t>service_input.txt / HTMLフォームのサンプル値を要約</t>
        </is>
      </c>
    </row>
    <row r="24" ht="32" customHeight="1">
      <c r="A24" s="21" t="inlineStr">
        <is>
          <t>F223</t>
        </is>
      </c>
      <c r="B24" s="21" t="inlineStr">
        <is>
          <t>プロジェクト2：優先度</t>
        </is>
      </c>
      <c r="C24" s="20" t="inlineStr">
        <is>
          <t>中</t>
        </is>
      </c>
      <c r="D24" s="21" t="inlineStr">
        <is>
          <t>service_input.txt / HTMLフォームのサンプル値を要約</t>
        </is>
      </c>
    </row>
    <row r="25" ht="32" customHeight="1">
      <c r="A25" s="21" t="inlineStr">
        <is>
          <t>F224</t>
        </is>
      </c>
      <c r="B25" s="21" t="inlineStr">
        <is>
          <t>プロジェクト2：AI活用の狙い・確認したいこと</t>
        </is>
      </c>
      <c r="C25" s="20" t="inlineStr">
        <is>
          <t>本番データの種類、保持場所、テナント構成、運用監視、AI機能の段階導入可否を確認する。</t>
        </is>
      </c>
      <c r="D25" s="21" t="inlineStr">
        <is>
          <t>service_input.txt / HTMLフォームのサンプル値を要約</t>
        </is>
      </c>
    </row>
    <row r="26" ht="32" customHeight="1">
      <c r="A26" s="21" t="inlineStr">
        <is>
          <t>F231</t>
        </is>
      </c>
      <c r="B26" s="21" t="inlineStr">
        <is>
          <t>プロジェクト3：プロジェクト/製品名</t>
        </is>
      </c>
      <c r="C26" s="20" t="inlineStr">
        <is>
          <t>Endeval（旧Endevor）</t>
        </is>
      </c>
      <c r="D26" s="21" t="inlineStr">
        <is>
          <t>service_input.txt / HTMLフォームのサンプル値を要約</t>
        </is>
      </c>
    </row>
    <row r="27" ht="32" customHeight="1">
      <c r="A27" s="21" t="inlineStr">
        <is>
          <t>F232</t>
        </is>
      </c>
      <c r="B27" s="21" t="inlineStr">
        <is>
          <t>プロジェクト3：段階</t>
        </is>
      </c>
      <c r="C27" s="20" t="inlineStr">
        <is>
          <t>開発中</t>
        </is>
      </c>
      <c r="D27" s="21" t="inlineStr">
        <is>
          <t>service_input.txt / HTMLフォームのサンプル値を要約</t>
        </is>
      </c>
    </row>
    <row r="28" ht="32" customHeight="1">
      <c r="A28" s="21" t="inlineStr">
        <is>
          <t>F233</t>
        </is>
      </c>
      <c r="B28" s="21" t="inlineStr">
        <is>
          <t>プロジェクト3：優先度</t>
        </is>
      </c>
      <c r="C28" s="20" t="inlineStr">
        <is>
          <t>中</t>
        </is>
      </c>
      <c r="D28" s="21" t="inlineStr">
        <is>
          <t>service_input.txt / HTMLフォームのサンプル値を要約</t>
        </is>
      </c>
    </row>
    <row r="29" ht="32" customHeight="1">
      <c r="A29" s="21" t="inlineStr">
        <is>
          <t>F234</t>
        </is>
      </c>
      <c r="B29" s="21" t="inlineStr">
        <is>
          <t>プロジェクト3：AI活用の狙い・確認したいこと</t>
        </is>
      </c>
      <c r="C29" s="20" t="inlineStr">
        <is>
          <t>構成検討中のため、事業目的、対象業務、アーキテクチャ、AI活用の狙いを整理する。</t>
        </is>
      </c>
      <c r="D29" s="21" t="inlineStr">
        <is>
          <t>service_input.txt / HTMLフォームのサンプル値を要約</t>
        </is>
      </c>
    </row>
    <row r="30" ht="32" customHeight="1">
      <c r="A30" s="21" t="inlineStr">
        <is>
          <t>F301</t>
        </is>
      </c>
      <c r="B30" s="21" t="inlineStr">
        <is>
          <t>主対象製品/サービス名</t>
        </is>
      </c>
      <c r="C30" s="20" t="inlineStr">
        <is>
          <t>Factory-ONE 電脳工場</t>
        </is>
      </c>
      <c r="D30" s="21" t="inlineStr">
        <is>
          <t>service_input.txt / HTMLフォームのサンプル値を要約</t>
        </is>
      </c>
    </row>
    <row r="31" ht="32" customHeight="1">
      <c r="A31" s="21" t="inlineStr">
        <is>
          <t>F302</t>
        </is>
      </c>
      <c r="B31" s="21" t="inlineStr">
        <is>
          <t>提供形態</t>
        </is>
      </c>
      <c r="C31" s="20" t="inlineStr">
        <is>
          <t>パッケージ;クラウドサービス</t>
        </is>
      </c>
      <c r="D31" s="21" t="inlineStr">
        <is>
          <t>service_input.txt / HTMLフォームのサンプル値を要約</t>
        </is>
      </c>
    </row>
    <row r="32" ht="32" customHeight="1">
      <c r="A32" s="21" t="inlineStr">
        <is>
          <t>F303</t>
        </is>
      </c>
      <c r="B32" s="21" t="inlineStr">
        <is>
          <t>位置づけ・提供価値</t>
        </is>
      </c>
      <c r="C32" s="20" t="inlineStr">
        <is>
          <t>中堅・中小製造業向けの生産・販売統合型の生産管理システム。</t>
        </is>
      </c>
      <c r="D32" s="21" t="inlineStr">
        <is>
          <t>service_input.txt / HTMLフォームのサンプル値を要約</t>
        </is>
      </c>
    </row>
    <row r="33" ht="32" customHeight="1">
      <c r="A33" s="21" t="inlineStr">
        <is>
          <t>F304</t>
        </is>
      </c>
      <c r="B33" s="21" t="inlineStr">
        <is>
          <t>代表的な機能・業務範囲</t>
        </is>
      </c>
      <c r="C33" s="20" t="inlineStr">
        <is>
          <t>生産計画、受注・出荷、手配計画、発注、受入、在庫、負荷、進捗、原価、請求、売掛、入金、仕入、買掛、支払。</t>
        </is>
      </c>
      <c r="D33" s="21" t="inlineStr">
        <is>
          <t>service_input.txt / HTMLフォームのサンプル値を要約</t>
        </is>
      </c>
    </row>
    <row r="34" ht="32" customHeight="1">
      <c r="A34" s="21" t="inlineStr">
        <is>
          <t>F305</t>
        </is>
      </c>
      <c r="B34" s="21" t="inlineStr">
        <is>
          <t>関連データ領域</t>
        </is>
      </c>
      <c r="C34" s="20" t="inlineStr">
        <is>
          <t>品目、BOM、取引先、工程などのマスタ、受注/生産/在庫/購買/原価などの実績、納期変更履歴、EDI受注取込。</t>
        </is>
      </c>
      <c r="D34" s="21" t="inlineStr">
        <is>
          <t>service_input.txt / HTMLフォームのサンプル値を要約</t>
        </is>
      </c>
    </row>
    <row r="35" ht="32" customHeight="1">
      <c r="A35" s="21" t="inlineStr">
        <is>
          <t>F306</t>
        </is>
      </c>
      <c r="B35" s="21" t="inlineStr">
        <is>
          <t>関連/拡張ソリューション</t>
        </is>
      </c>
      <c r="C35" s="20" t="inlineStr">
        <is>
          <t>EX在庫診断/EX在庫シミュレータ、EX調達価格シミュレータ、EXQR現品照合。</t>
        </is>
      </c>
      <c r="D35" s="21" t="inlineStr">
        <is>
          <t>service_input.txt / HTMLフォームのサンプル値を要約</t>
        </is>
      </c>
    </row>
    <row r="36" ht="32" customHeight="1">
      <c r="A36" s="21" t="inlineStr">
        <is>
          <t>F307</t>
        </is>
      </c>
      <c r="B36" s="21" t="inlineStr">
        <is>
          <t>カスタマイズ/個社対応の状況</t>
        </is>
      </c>
      <c r="C36" s="20" t="inlineStr">
        <is>
          <t>パッケージでありつつソース公開を行い、利用企業側でのカスタマイズも可能。共通AI機能と個社固有拡張の切り分けが必要。</t>
        </is>
      </c>
      <c r="D36" s="21" t="inlineStr">
        <is>
          <t>service_input.txt / HTMLフォームのサンプル値を要約</t>
        </is>
      </c>
    </row>
    <row r="37" ht="32" customHeight="1">
      <c r="A37" s="21" t="inlineStr">
        <is>
          <t>F308</t>
        </is>
      </c>
      <c r="B37" s="21" t="inlineStr">
        <is>
          <t>追加対象製品・サービスがあれば記入してください</t>
        </is>
      </c>
      <c r="C37" s="20" t="inlineStr">
        <is>
          <t>EXtelligence EDIFAS：クラウド型EDI（調達・購買）サービス。見積、受発注、入出荷、API/CSV連携、電子帳簿保存法対応ストレージ保存。</t>
        </is>
      </c>
      <c r="D37" s="21" t="inlineStr">
        <is>
          <t>service_input.txt / HTMLフォームのサンプル値を要約</t>
        </is>
      </c>
    </row>
    <row r="38" ht="32" customHeight="1">
      <c r="A38" s="21" t="inlineStr">
        <is>
          <t>F401</t>
        </is>
      </c>
      <c r="B38" s="21" t="inlineStr">
        <is>
          <t>ターゲット顧客規模</t>
        </is>
      </c>
      <c r="C38" s="20" t="inlineStr">
        <is>
          <t>中堅企業;SMB</t>
        </is>
      </c>
      <c r="D38" s="21" t="inlineStr">
        <is>
          <t>service_input.txt / HTMLフォームのサンプル値を要約</t>
        </is>
      </c>
    </row>
    <row r="39" ht="32" customHeight="1">
      <c r="A39" s="21" t="inlineStr">
        <is>
          <t>F402</t>
        </is>
      </c>
      <c r="B39" s="21" t="inlineStr">
        <is>
          <t>価格形態</t>
        </is>
      </c>
      <c r="C39" s="20" t="inlineStr">
        <is>
          <t>月額サブスクリプション;保守費;個別見積</t>
        </is>
      </c>
      <c r="D39" s="21" t="inlineStr">
        <is>
          <t>service_input.txt / HTMLフォームのサンプル値を要約</t>
        </is>
      </c>
    </row>
    <row r="40" ht="32" customHeight="1">
      <c r="A40" s="21" t="inlineStr">
        <is>
          <t>F403</t>
        </is>
      </c>
      <c r="B40" s="21" t="inlineStr">
        <is>
          <t>ライセンス形式</t>
        </is>
      </c>
      <c r="C40" s="20" t="inlineStr"/>
      <c r="D40" s="21" t="inlineStr"/>
    </row>
    <row r="41" ht="32" customHeight="1">
      <c r="A41" s="21" t="inlineStr">
        <is>
          <t>F404</t>
        </is>
      </c>
      <c r="B41" s="21" t="inlineStr">
        <is>
          <t>現行収益モデル</t>
        </is>
      </c>
      <c r="C41" s="20" t="inlineStr">
        <is>
          <t>パッケージ/クラウド利用料、導入コンサルティング、カスタマイズ開発、稼働支援、保守。</t>
        </is>
      </c>
      <c r="D41" s="21" t="inlineStr">
        <is>
          <t>service_input.txt / HTMLフォームのサンプル値を要約</t>
        </is>
      </c>
    </row>
    <row r="42" ht="32" customHeight="1">
      <c r="A42" s="21" t="inlineStr">
        <is>
          <t>F405</t>
        </is>
      </c>
      <c r="B42" s="21" t="inlineStr">
        <is>
          <t>AI機能の想定収益モデル</t>
        </is>
      </c>
      <c r="C42" s="20" t="inlineStr">
        <is>
          <t>AIアドオン;上位プラン;AI Agent実行回数課金;標準機能化による解約率低減</t>
        </is>
      </c>
      <c r="D42" s="21" t="inlineStr">
        <is>
          <t>service_input.txt / HTMLフォームのサンプル値を要約</t>
        </is>
      </c>
    </row>
    <row r="43" ht="32" customHeight="1">
      <c r="A43" s="21" t="inlineStr">
        <is>
          <t>F406</t>
        </is>
      </c>
      <c r="B43" s="21" t="inlineStr">
        <is>
          <t>主な競合製品・競合企業</t>
        </is>
      </c>
      <c r="C43" s="20" t="inlineStr">
        <is>
          <t>同業生産管理パッケージ、ERP、製造業向けSaaS、内製システム。詳細は顧客ヒアリングで確認。</t>
        </is>
      </c>
      <c r="D43" s="21" t="inlineStr">
        <is>
          <t>service_input.txt / HTMLフォームのサンプル値を要約</t>
        </is>
      </c>
    </row>
    <row r="44" ht="32" customHeight="1">
      <c r="A44" s="21" t="inlineStr">
        <is>
          <t>F407</t>
        </is>
      </c>
      <c r="B44" s="21" t="inlineStr">
        <is>
          <t>競合と比較したAI差別化仮説</t>
        </is>
      </c>
      <c r="C44" s="20" t="inlineStr">
        <is>
          <t>生産管理・販売管理・EDI・現場帳票などのデータを横断し、需要予測、納期遅延予兆、在庫リスク、調達価格影響を説明できるAI機能を提供することで差別化する仮説。</t>
        </is>
      </c>
      <c r="D44" s="21" t="inlineStr">
        <is>
          <t>service_input.txt / HTMLフォームのサンプル値を要約</t>
        </is>
      </c>
    </row>
    <row r="45" ht="32" customHeight="1">
      <c r="A45" s="21" t="inlineStr">
        <is>
          <t>F408</t>
        </is>
      </c>
      <c r="B45" s="21" t="inlineStr">
        <is>
          <t>市場投入上の課題・懸念</t>
        </is>
      </c>
      <c r="C45" s="20" t="inlineStr"/>
      <c r="D45" s="21" t="inlineStr"/>
    </row>
    <row r="46" ht="72" customHeight="1">
      <c r="A46" s="21" t="inlineStr">
        <is>
          <t>F501</t>
        </is>
      </c>
      <c r="B46" s="21" t="inlineStr">
        <is>
          <t>保有データ・業務IP</t>
        </is>
      </c>
      <c r="C46" s="20" t="inlineStr">
        <is>
          <t>品目マスタ、BOM、取引先、工程、受注、出荷、生産計画、発注、受入、在庫、負荷、進捗、原価、請求、売掛、入金、仕入、買掛、支払、EDI取引、現場帳票、問い合わせ/マニュアル。</t>
        </is>
      </c>
      <c r="D46" s="21" t="inlineStr">
        <is>
          <t>service_input.txt / HTMLフォームのサンプル値を要約</t>
        </is>
      </c>
    </row>
    <row r="47" ht="32" customHeight="1">
      <c r="A47" s="21" t="inlineStr">
        <is>
          <t>F502</t>
        </is>
      </c>
      <c r="B47" s="21" t="inlineStr">
        <is>
          <t>データ種別</t>
        </is>
      </c>
      <c r="C47" s="20" t="inlineStr">
        <is>
          <t>マスタデータ;トランザクション;文書/PDF/マニュアル;外部データ/API;複数企業間データ</t>
        </is>
      </c>
      <c r="D47" s="21" t="inlineStr">
        <is>
          <t>service_input.txt / HTMLフォームのサンプル値を要約</t>
        </is>
      </c>
    </row>
    <row r="48" ht="32" customHeight="1">
      <c r="A48" s="21" t="inlineStr">
        <is>
          <t>F503</t>
        </is>
      </c>
      <c r="B48" s="21" t="inlineStr">
        <is>
          <t>データの所在・保持場所</t>
        </is>
      </c>
      <c r="C48" s="20" t="inlineStr">
        <is>
          <t>自社SaaS DB;顧客環境;外部基幹システム;EDI/外部取引基盤;ファイル/文書ストレージ</t>
        </is>
      </c>
      <c r="D48" s="21" t="inlineStr">
        <is>
          <t>service_input.txt / HTMLフォームのサンプル値を要約</t>
        </is>
      </c>
    </row>
    <row r="49" ht="32" customHeight="1">
      <c r="A49" s="21" t="inlineStr">
        <is>
          <t>F504</t>
        </is>
      </c>
      <c r="B49" s="21" t="inlineStr">
        <is>
          <t>データ形式・連携方式</t>
        </is>
      </c>
      <c r="C49" s="20" t="inlineStr">
        <is>
          <t>RDB;CSV;API;EDI;PDF/文書;画像/帳票</t>
        </is>
      </c>
      <c r="D49" s="21" t="inlineStr">
        <is>
          <t>service_input.txt / HTMLフォームのサンプル値を要約</t>
        </is>
      </c>
    </row>
    <row r="50" ht="32" customHeight="1">
      <c r="A50" s="21" t="inlineStr">
        <is>
          <t>F505</t>
        </is>
      </c>
      <c r="B50" s="21" t="inlineStr">
        <is>
          <t>データ量・更新頻度・品質</t>
        </is>
      </c>
      <c r="C50" s="20" t="inlineStr">
        <is>
          <t>データ量、履歴期間、欠損、表記揺れ、マスタ整備状況、更新頻度は初回ヒアリングで確認。</t>
        </is>
      </c>
      <c r="D50" s="21" t="inlineStr">
        <is>
          <t>service_input.txt / HTMLフォームのサンプル値を要約</t>
        </is>
      </c>
    </row>
    <row r="51" ht="32" customHeight="1">
      <c r="A51" s="21" t="inlineStr">
        <is>
          <t>F506</t>
        </is>
      </c>
      <c r="B51" s="21" t="inlineStr">
        <is>
          <t>テナント分離・顧客データ方針</t>
        </is>
      </c>
      <c r="C51" s="20" t="inlineStr">
        <is>
          <t>顧客テナントごとのデータ分離、顧客データ利用許諾、匿名化/マスキング方針を確認。</t>
        </is>
      </c>
      <c r="D51" s="21" t="inlineStr">
        <is>
          <t>service_input.txt / HTMLフォームのサンプル値を要約</t>
        </is>
      </c>
    </row>
    <row r="52" ht="32" customHeight="1">
      <c r="A52" s="21" t="inlineStr">
        <is>
          <t>F507</t>
        </is>
      </c>
      <c r="B52" s="21" t="inlineStr">
        <is>
          <t>データ利用許諾・匿名化/マスキング</t>
        </is>
      </c>
      <c r="C52" s="20" t="inlineStr">
        <is>
          <t>PoCで利用可能なサンプルデータ、匿名化データ、本番データ利用可否、顧客同意範囲を確認。</t>
        </is>
      </c>
      <c r="D52" s="21" t="inlineStr">
        <is>
          <t>service_input.txt / HTMLフォームのサンプル値を要約</t>
        </is>
      </c>
    </row>
    <row r="53" ht="32" customHeight="1">
      <c r="A53" s="21" t="inlineStr">
        <is>
          <t>F508</t>
        </is>
      </c>
      <c r="B53" s="21" t="inlineStr">
        <is>
          <t>複数企業/取引先データの取り扱い</t>
        </is>
      </c>
      <c r="C53" s="20" t="inlineStr">
        <is>
          <t>EDIFAS等の複数企業データについて、利用目的、データ所有権、同意、越境/共有範囲を最初に整理する。</t>
        </is>
      </c>
      <c r="D53" s="21" t="inlineStr">
        <is>
          <t>service_input.txt / HTMLフォームのサンプル値を要約</t>
        </is>
      </c>
    </row>
    <row r="54" ht="32" customHeight="1">
      <c r="A54" s="21" t="inlineStr">
        <is>
          <t>F509_1</t>
        </is>
      </c>
      <c r="B54" s="21" t="inlineStr">
        <is>
          <t>データ成熟度：必要データが存在する</t>
        </is>
      </c>
      <c r="C54" s="20" t="inlineStr"/>
      <c r="D54" s="21" t="inlineStr"/>
    </row>
    <row r="55" ht="32" customHeight="1">
      <c r="A55" s="21" t="inlineStr">
        <is>
          <t>F509_2</t>
        </is>
      </c>
      <c r="B55" s="21" t="inlineStr">
        <is>
          <t>データ成熟度：データ項目定義が明確</t>
        </is>
      </c>
      <c r="C55" s="20" t="inlineStr"/>
      <c r="D55" s="21" t="inlineStr"/>
    </row>
    <row r="56" ht="32" customHeight="1">
      <c r="A56" s="21" t="inlineStr">
        <is>
          <t>F509_3</t>
        </is>
      </c>
      <c r="B56" s="21" t="inlineStr">
        <is>
          <t>データ成熟度：データ品質を把握している</t>
        </is>
      </c>
      <c r="C56" s="20" t="inlineStr"/>
      <c r="D56" s="21" t="inlineStr"/>
    </row>
    <row r="57" ht="32" customHeight="1">
      <c r="A57" s="21" t="inlineStr">
        <is>
          <t>F509_4</t>
        </is>
      </c>
      <c r="B57" s="21" t="inlineStr">
        <is>
          <t>データ成熟度：顧客データ利用許諾が整理済み</t>
        </is>
      </c>
      <c r="C57" s="20" t="inlineStr"/>
      <c r="D57" s="21" t="inlineStr"/>
    </row>
    <row r="58" ht="32" customHeight="1">
      <c r="A58" s="21" t="inlineStr">
        <is>
          <t>F509_5</t>
        </is>
      </c>
      <c r="B58" s="21" t="inlineStr">
        <is>
          <t>データ成熟度：匿名化・マスキング方針がある</t>
        </is>
      </c>
      <c r="C58" s="20" t="inlineStr"/>
      <c r="D58" s="21" t="inlineStr"/>
    </row>
    <row r="59" ht="32" customHeight="1">
      <c r="A59" s="21" t="inlineStr">
        <is>
          <t>F509_6</t>
        </is>
      </c>
      <c r="B59" s="21" t="inlineStr">
        <is>
          <t>データ成熟度：API・連携方式がある</t>
        </is>
      </c>
      <c r="C59" s="20" t="inlineStr"/>
      <c r="D59" s="21" t="inlineStr"/>
    </row>
    <row r="60" ht="32" customHeight="1">
      <c r="A60" s="21" t="inlineStr">
        <is>
          <t>F601</t>
        </is>
      </c>
      <c r="B60" s="21" t="inlineStr">
        <is>
          <t>AI活用目的</t>
        </is>
      </c>
      <c r="C60" s="20" t="inlineStr">
        <is>
          <t>新サービス開発・収益増;競合差別化;業務効率化・運用効率化;顧客体験向上;コスト/原価率改善</t>
        </is>
      </c>
      <c r="D60" s="21" t="inlineStr">
        <is>
          <t>service_input.txt / HTMLフォームのサンプル値を要約</t>
        </is>
      </c>
    </row>
    <row r="61" ht="32" customHeight="1">
      <c r="A61" s="21" t="inlineStr">
        <is>
          <t>F602</t>
        </is>
      </c>
      <c r="B61" s="21" t="inlineStr">
        <is>
          <t>AIで何を行いたいか</t>
        </is>
      </c>
      <c r="C61" s="20" t="inlineStr">
        <is>
          <t>需給・在庫の予測、欠品/過剰在庫リスク検知、納期遅延予兆、負荷偏り検知、調達価格変動の利益影響予測、製造・生産管理の問い合わせ対応、マニュアル/過去事例検索。</t>
        </is>
      </c>
      <c r="D61" s="21" t="inlineStr">
        <is>
          <t>service_input.txt / HTMLフォームのサンプル値を要約</t>
        </is>
      </c>
    </row>
    <row r="62" ht="32" customHeight="1">
      <c r="A62" s="21" t="inlineStr">
        <is>
          <t>F603</t>
        </is>
      </c>
      <c r="B62" s="21" t="inlineStr">
        <is>
          <t>期待するAI機能・サービス内容</t>
        </is>
      </c>
      <c r="C62" s="20" t="inlineStr">
        <is>
          <t>RAG/ナレッジ検索;自然言語でのデータ問い合わせ;予測;異常検知;AI Agentによる業務実行支援;文書/帳票生成</t>
        </is>
      </c>
      <c r="D62" s="21" t="inlineStr">
        <is>
          <t>service_input.txt / HTMLフォームのサンプル値を要約</t>
        </is>
      </c>
    </row>
    <row r="63" ht="32" customHeight="1">
      <c r="A63" s="21" t="inlineStr">
        <is>
          <t>F604</t>
        </is>
      </c>
      <c r="B63" s="21" t="inlineStr">
        <is>
          <t>AIの実行レベル</t>
        </is>
      </c>
      <c r="C63" s="20" t="inlineStr">
        <is>
          <t>提案・推奨まで</t>
        </is>
      </c>
      <c r="D63" s="21" t="inlineStr">
        <is>
          <t>service_input.txt / HTMLフォームのサンプル値を要約</t>
        </is>
      </c>
    </row>
    <row r="64" ht="32" customHeight="1">
      <c r="A64" s="21" t="inlineStr">
        <is>
          <t>F605</t>
        </is>
      </c>
      <c r="B64" s="21" t="inlineStr">
        <is>
          <t>人による確認/承認が必要な場面</t>
        </is>
      </c>
      <c r="C64" s="20" t="inlineStr">
        <is>
          <t>計画変更、発注、外部通知、価格提示、顧客データをまたぐ分析は人間承認を前提とする。</t>
        </is>
      </c>
      <c r="D64" s="21" t="inlineStr">
        <is>
          <t>service_input.txt / HTMLフォームのサンプル値を要約</t>
        </is>
      </c>
    </row>
    <row r="65" ht="32" customHeight="1">
      <c r="A65" s="21" t="inlineStr">
        <is>
          <t>F606</t>
        </is>
      </c>
      <c r="B65" s="21" t="inlineStr">
        <is>
          <t>期待するKPI/ビジネス効果</t>
        </is>
      </c>
      <c r="C65" s="20" t="inlineStr">
        <is>
          <t>在庫削減、欠品/過剰在庫の抑制、納期遵守率向上、問い合わせ対応時間削減、計画変更判断の迅速化、AI機能による新規収益化。</t>
        </is>
      </c>
      <c r="D65" s="21" t="inlineStr">
        <is>
          <t>service_input.txt / HTMLフォームのサンプル値を要約</t>
        </is>
      </c>
    </row>
    <row r="66" ht="32" customHeight="1">
      <c r="A66" s="21" t="inlineStr">
        <is>
          <t>F607</t>
        </is>
      </c>
      <c r="B66" s="21" t="inlineStr">
        <is>
          <t>AI機能の想定利用者</t>
        </is>
      </c>
      <c r="C66" s="20" t="inlineStr"/>
      <c r="D66" s="21" t="inlineStr"/>
    </row>
    <row r="67" ht="32" customHeight="1">
      <c r="A67" s="21" t="inlineStr">
        <is>
          <t>F711</t>
        </is>
      </c>
      <c r="B67" s="21" t="inlineStr">
        <is>
          <t>ユースケース1：名称</t>
        </is>
      </c>
      <c r="C67" s="20" t="inlineStr">
        <is>
          <t>需要予測・在庫最適化</t>
        </is>
      </c>
      <c r="D67" s="21" t="inlineStr">
        <is>
          <t>service_input.txt / HTMLフォームのサンプル値を要約</t>
        </is>
      </c>
    </row>
    <row r="68" ht="32" customHeight="1">
      <c r="A68" s="21" t="inlineStr">
        <is>
          <t>F712</t>
        </is>
      </c>
      <c r="B68" s="21" t="inlineStr">
        <is>
          <t>ユースケース1：業務領域</t>
        </is>
      </c>
      <c r="C68" s="20" t="inlineStr">
        <is>
          <t>需給・在庫</t>
        </is>
      </c>
      <c r="D68" s="21" t="inlineStr">
        <is>
          <t>service_input.txt / HTMLフォームのサンプル値を要約</t>
        </is>
      </c>
    </row>
    <row r="69" ht="32" customHeight="1">
      <c r="A69" s="21" t="inlineStr">
        <is>
          <t>F713</t>
        </is>
      </c>
      <c r="B69" s="21" t="inlineStr">
        <is>
          <t>ユースケース1：優先度</t>
        </is>
      </c>
      <c r="C69" s="20" t="inlineStr">
        <is>
          <t>高</t>
        </is>
      </c>
      <c r="D69" s="21" t="inlineStr">
        <is>
          <t>service_input.txt / HTMLフォームのサンプル値を要約</t>
        </is>
      </c>
    </row>
    <row r="70" ht="32" customHeight="1">
      <c r="A70" s="21" t="inlineStr">
        <is>
          <t>F714</t>
        </is>
      </c>
      <c r="B70" s="21" t="inlineStr">
        <is>
          <t>ユースケース1：利用シナリオ</t>
        </is>
      </c>
      <c r="C70" s="20" t="inlineStr">
        <is>
          <t>販売/受注/在庫履歴から将来需要を予測し、安全在庫・発注点を提案する。</t>
        </is>
      </c>
      <c r="D70" s="21" t="inlineStr">
        <is>
          <t>service_input.txt / HTMLフォームのサンプル値を要約</t>
        </is>
      </c>
    </row>
    <row r="71" ht="32" customHeight="1">
      <c r="A71" s="21" t="inlineStr">
        <is>
          <t>F715</t>
        </is>
      </c>
      <c r="B71" s="21" t="inlineStr">
        <is>
          <t>ユースケース1：必要データ</t>
        </is>
      </c>
      <c r="C71" s="20" t="inlineStr">
        <is>
          <t>販売/受注履歴、在庫、品目、BOM、リードタイム、発注履歴、季節性データ。</t>
        </is>
      </c>
      <c r="D71" s="21" t="inlineStr">
        <is>
          <t>service_input.txt / HTMLフォームのサンプル値を要約</t>
        </is>
      </c>
    </row>
    <row r="72" ht="32" customHeight="1">
      <c r="A72" s="21" t="inlineStr">
        <is>
          <t>F716</t>
        </is>
      </c>
      <c r="B72" s="21" t="inlineStr">
        <is>
          <t>ユースケース1：想定AI技術</t>
        </is>
      </c>
      <c r="C72" s="20" t="inlineStr">
        <is>
          <t>予測/時系列分析;生成AI;データ可視化</t>
        </is>
      </c>
      <c r="D72" s="21" t="inlineStr">
        <is>
          <t>service_input.txt / HTMLフォームのサンプル値を要約</t>
        </is>
      </c>
    </row>
    <row r="73" ht="32" customHeight="1">
      <c r="A73" s="21" t="inlineStr">
        <is>
          <t>F717</t>
        </is>
      </c>
      <c r="B73" s="21" t="inlineStr">
        <is>
          <t>ユースケース1：期待効果/KPI</t>
        </is>
      </c>
      <c r="C73" s="20" t="inlineStr">
        <is>
          <t>在庫削減率、欠品率、過剰在庫額、発注判断時間。</t>
        </is>
      </c>
      <c r="D73" s="21" t="inlineStr">
        <is>
          <t>service_input.txt / HTMLフォームのサンプル値を要約</t>
        </is>
      </c>
    </row>
    <row r="74" ht="32" customHeight="1">
      <c r="A74" s="21" t="inlineStr">
        <is>
          <t>F721</t>
        </is>
      </c>
      <c r="B74" s="21" t="inlineStr">
        <is>
          <t>ユースケース2：名称</t>
        </is>
      </c>
      <c r="C74" s="20" t="inlineStr">
        <is>
          <t>納期遅延予兆・計画変更影響説明</t>
        </is>
      </c>
      <c r="D74" s="21" t="inlineStr">
        <is>
          <t>service_input.txt / HTMLフォームのサンプル値を要約</t>
        </is>
      </c>
    </row>
    <row r="75" ht="32" customHeight="1">
      <c r="A75" s="21" t="inlineStr">
        <is>
          <t>F722</t>
        </is>
      </c>
      <c r="B75" s="21" t="inlineStr">
        <is>
          <t>ユースケース2：業務領域</t>
        </is>
      </c>
      <c r="C75" s="20" t="inlineStr">
        <is>
          <t>生産計画・進捗</t>
        </is>
      </c>
      <c r="D75" s="21" t="inlineStr">
        <is>
          <t>service_input.txt / HTMLフォームのサンプル値を要約</t>
        </is>
      </c>
    </row>
    <row r="76" ht="32" customHeight="1">
      <c r="A76" s="21" t="inlineStr">
        <is>
          <t>F723</t>
        </is>
      </c>
      <c r="B76" s="21" t="inlineStr">
        <is>
          <t>ユースケース2：優先度</t>
        </is>
      </c>
      <c r="C76" s="20" t="inlineStr">
        <is>
          <t>高</t>
        </is>
      </c>
      <c r="D76" s="21" t="inlineStr">
        <is>
          <t>service_input.txt / HTMLフォームのサンプル値を要約</t>
        </is>
      </c>
    </row>
    <row r="77" ht="32" customHeight="1">
      <c r="A77" s="21" t="inlineStr">
        <is>
          <t>F724</t>
        </is>
      </c>
      <c r="B77" s="21" t="inlineStr">
        <is>
          <t>ユースケース2：利用シナリオ</t>
        </is>
      </c>
      <c r="C77" s="20" t="inlineStr">
        <is>
          <t>生産計画、進捗、負荷、在庫、購買状況をもとに遅延リスクを検知し、影響範囲を自然言語で説明する。</t>
        </is>
      </c>
      <c r="D77" s="21" t="inlineStr">
        <is>
          <t>service_input.txt / HTMLフォームのサンプル値を要約</t>
        </is>
      </c>
    </row>
    <row r="78" ht="32" customHeight="1">
      <c r="A78" s="21" t="inlineStr">
        <is>
          <t>F725</t>
        </is>
      </c>
      <c r="B78" s="21" t="inlineStr">
        <is>
          <t>ユースケース2：必要データ</t>
        </is>
      </c>
      <c r="C78" s="20" t="inlineStr">
        <is>
          <t>生産計画、進捗、負荷、工程、受注、納期変更履歴、購買/在庫。</t>
        </is>
      </c>
      <c r="D78" s="21" t="inlineStr">
        <is>
          <t>service_input.txt / HTMLフォームのサンプル値を要約</t>
        </is>
      </c>
    </row>
    <row r="79" ht="32" customHeight="1">
      <c r="A79" s="21" t="inlineStr">
        <is>
          <t>F726</t>
        </is>
      </c>
      <c r="B79" s="21" t="inlineStr">
        <is>
          <t>ユースケース2：想定AI技術</t>
        </is>
      </c>
      <c r="C79" s="20" t="inlineStr">
        <is>
          <t>異常検知;予測/時系列分析;生成AI;RAG</t>
        </is>
      </c>
      <c r="D79" s="21" t="inlineStr">
        <is>
          <t>service_input.txt / HTMLフォームのサンプル値を要約</t>
        </is>
      </c>
    </row>
    <row r="80" ht="32" customHeight="1">
      <c r="A80" s="21" t="inlineStr">
        <is>
          <t>F727</t>
        </is>
      </c>
      <c r="B80" s="21" t="inlineStr">
        <is>
          <t>ユースケース2：期待効果/KPI</t>
        </is>
      </c>
      <c r="C80" s="20" t="inlineStr">
        <is>
          <t>納期遵守率、遅延検知リードタイム、計画変更工数。</t>
        </is>
      </c>
      <c r="D80" s="21" t="inlineStr">
        <is>
          <t>service_input.txt / HTMLフォームのサンプル値を要約</t>
        </is>
      </c>
    </row>
    <row r="81" ht="32" customHeight="1">
      <c r="A81" s="21" t="inlineStr">
        <is>
          <t>F731</t>
        </is>
      </c>
      <c r="B81" s="21" t="inlineStr">
        <is>
          <t>ユースケース3：名称</t>
        </is>
      </c>
      <c r="C81" s="20" t="inlineStr">
        <is>
          <t>製造業務AIアシスタント</t>
        </is>
      </c>
      <c r="D81" s="21" t="inlineStr">
        <is>
          <t>service_input.txt / HTMLフォームのサンプル値を要約</t>
        </is>
      </c>
    </row>
    <row r="82" ht="32" customHeight="1">
      <c r="A82" s="21" t="inlineStr">
        <is>
          <t>F732</t>
        </is>
      </c>
      <c r="B82" s="21" t="inlineStr">
        <is>
          <t>ユースケース3：業務領域</t>
        </is>
      </c>
      <c r="C82" s="20" t="inlineStr">
        <is>
          <t>業務支援</t>
        </is>
      </c>
      <c r="D82" s="21" t="inlineStr">
        <is>
          <t>service_input.txt / HTMLフォームのサンプル値を要約</t>
        </is>
      </c>
    </row>
    <row r="83" ht="32" customHeight="1">
      <c r="A83" s="21" t="inlineStr">
        <is>
          <t>F733</t>
        </is>
      </c>
      <c r="B83" s="21" t="inlineStr">
        <is>
          <t>ユースケース3：優先度</t>
        </is>
      </c>
      <c r="C83" s="20" t="inlineStr">
        <is>
          <t>中</t>
        </is>
      </c>
      <c r="D83" s="21" t="inlineStr">
        <is>
          <t>service_input.txt / HTMLフォームのサンプル値を要約</t>
        </is>
      </c>
    </row>
    <row r="84" ht="32" customHeight="1">
      <c r="A84" s="21" t="inlineStr">
        <is>
          <t>F734</t>
        </is>
      </c>
      <c r="B84" s="21" t="inlineStr">
        <is>
          <t>ユースケース3：利用シナリオ</t>
        </is>
      </c>
      <c r="C84" s="20" t="inlineStr">
        <is>
          <t>ユーザーが自然言語で操作方法、過去事例、在庫/受注/生産状況を問い合わせ、根拠付き回答を受け取る。</t>
        </is>
      </c>
      <c r="D84" s="21" t="inlineStr">
        <is>
          <t>service_input.txt / HTMLフォームのサンプル値を要約</t>
        </is>
      </c>
    </row>
    <row r="85" ht="32" customHeight="1">
      <c r="A85" s="21" t="inlineStr">
        <is>
          <t>F735</t>
        </is>
      </c>
      <c r="B85" s="21" t="inlineStr">
        <is>
          <t>ユースケース3：必要データ</t>
        </is>
      </c>
      <c r="C85" s="20" t="inlineStr">
        <is>
          <t>製品マニュアル、FAQ、過去問い合わせ、業務データ、権限情報。</t>
        </is>
      </c>
      <c r="D85" s="21" t="inlineStr">
        <is>
          <t>service_input.txt / HTMLフォームのサンプル値を要約</t>
        </is>
      </c>
    </row>
    <row r="86" ht="32" customHeight="1">
      <c r="A86" s="21" t="inlineStr">
        <is>
          <t>F736</t>
        </is>
      </c>
      <c r="B86" s="21" t="inlineStr">
        <is>
          <t>ユースケース3：想定AI技術</t>
        </is>
      </c>
      <c r="C86" s="20" t="inlineStr">
        <is>
          <t>RAG;Vector Search;生成AI;Human-in-the-loop</t>
        </is>
      </c>
      <c r="D86" s="21" t="inlineStr">
        <is>
          <t>service_input.txt / HTMLフォームのサンプル値を要約</t>
        </is>
      </c>
    </row>
    <row r="87" ht="32" customHeight="1">
      <c r="A87" s="21" t="inlineStr">
        <is>
          <t>F737</t>
        </is>
      </c>
      <c r="B87" s="21" t="inlineStr">
        <is>
          <t>ユースケース3：期待効果/KPI</t>
        </is>
      </c>
      <c r="C87" s="20" t="inlineStr">
        <is>
          <t>問い合わせ一次解決率、回答精度、サポート工数削減、顧客満足度。</t>
        </is>
      </c>
      <c r="D87" s="21" t="inlineStr">
        <is>
          <t>service_input.txt / HTMLフォームのサンプル値を要約</t>
        </is>
      </c>
    </row>
    <row r="88" ht="32" customHeight="1">
      <c r="A88" s="21" t="inlineStr">
        <is>
          <t>F801</t>
        </is>
      </c>
      <c r="B88" s="21" t="inlineStr">
        <is>
          <t>現行アーキテクチャ概要</t>
        </is>
      </c>
      <c r="C88" s="20" t="inlineStr">
        <is>
          <t>現行プラットフォーム、DB、API、認証、テナント構成、データ連携図を確認。</t>
        </is>
      </c>
      <c r="D88" s="21" t="inlineStr">
        <is>
          <t>service_input.txt / HTMLフォームのサンプル値を要約</t>
        </is>
      </c>
    </row>
    <row r="89" ht="32" customHeight="1">
      <c r="A89" s="21" t="inlineStr">
        <is>
          <t>F802</t>
        </is>
      </c>
      <c r="B89" s="21" t="inlineStr">
        <is>
          <t>利用中クラウド/基盤</t>
        </is>
      </c>
      <c r="C89" s="20" t="inlineStr"/>
      <c r="D89" s="21" t="inlineStr"/>
    </row>
    <row r="90" ht="32" customHeight="1">
      <c r="A90" s="21" t="inlineStr">
        <is>
          <t>F803</t>
        </is>
      </c>
      <c r="B90" s="21" t="inlineStr">
        <is>
          <t>利用中DB/データ基盤</t>
        </is>
      </c>
      <c r="C90" s="20" t="inlineStr"/>
      <c r="D90" s="21" t="inlineStr"/>
    </row>
    <row r="91" ht="32" customHeight="1">
      <c r="A91" s="21" t="inlineStr">
        <is>
          <t>F804</t>
        </is>
      </c>
      <c r="B91" s="21" t="inlineStr">
        <is>
          <t>API・認証・外部連携</t>
        </is>
      </c>
      <c r="C91" s="20" t="inlineStr">
        <is>
          <t>外部基幹システムとのAPI/CSV連携、EDI、認証、権限制御、既存業務画面との連携方式を確認。</t>
        </is>
      </c>
      <c r="D91" s="21" t="inlineStr">
        <is>
          <t>service_input.txt / HTMLフォームのサンプル値を要約</t>
        </is>
      </c>
    </row>
    <row r="92" ht="32" customHeight="1">
      <c r="A92" s="21" t="inlineStr">
        <is>
          <t>F805</t>
        </is>
      </c>
      <c r="B92" s="21" t="inlineStr">
        <is>
          <t>OCI上で求める範囲</t>
        </is>
      </c>
      <c r="C92" s="20" t="inlineStr">
        <is>
          <t>データ基盤;生成AI;RAG;AI Agent;Vector Search;アプリ連携;セキュリティ;監視・運用</t>
        </is>
      </c>
      <c r="D92" s="21" t="inlineStr">
        <is>
          <t>service_input.txt / HTMLフォームのサンプル値を要約</t>
        </is>
      </c>
    </row>
    <row r="93" ht="32" customHeight="1">
      <c r="A93" s="21" t="inlineStr">
        <is>
          <t>F806</t>
        </is>
      </c>
      <c r="B93" s="21" t="inlineStr">
        <is>
          <t>非機能要件</t>
        </is>
      </c>
      <c r="C93" s="20" t="inlineStr">
        <is>
          <t>画面応答、AI回答時間、可用性、コスト、監査ログ、DR、運用監視、マルチテナント性能。</t>
        </is>
      </c>
      <c r="D93" s="21" t="inlineStr">
        <is>
          <t>service_input.txt / HTMLフォームのサンプル値を要約</t>
        </is>
      </c>
    </row>
    <row r="94" ht="32" customHeight="1">
      <c r="A94" s="21" t="inlineStr">
        <is>
          <t>F807</t>
        </is>
      </c>
      <c r="B94" s="21" t="inlineStr">
        <is>
          <t>既存制約・移行条件</t>
        </is>
      </c>
      <c r="C94" s="20" t="inlineStr"/>
      <c r="D94" s="21" t="inlineStr"/>
    </row>
    <row r="95" ht="32" customHeight="1">
      <c r="A95" s="21" t="inlineStr">
        <is>
          <t>F808</t>
        </is>
      </c>
      <c r="B95" s="21" t="inlineStr">
        <is>
          <t>Oracle/OCIに相談したいこと</t>
        </is>
      </c>
      <c r="C95" s="20" t="inlineStr"/>
      <c r="D95" s="21" t="inlineStr"/>
    </row>
    <row r="96" ht="32" customHeight="1">
      <c r="A96" s="21" t="inlineStr">
        <is>
          <t>F901</t>
        </is>
      </c>
      <c r="B96" s="21" t="inlineStr">
        <is>
          <t>セキュリティ要件</t>
        </is>
      </c>
      <c r="C96" s="20" t="inlineStr">
        <is>
          <t>テナント分離;暗号化;アクセス制御;監査ログ;プロンプト/入力制御;出力フィルタリング</t>
        </is>
      </c>
      <c r="D96" s="21" t="inlineStr">
        <is>
          <t>service_input.txt / HTMLフォームのサンプル値を要約</t>
        </is>
      </c>
    </row>
    <row r="97" ht="32" customHeight="1">
      <c r="A97" s="21" t="inlineStr">
        <is>
          <t>F902</t>
        </is>
      </c>
      <c r="B97" s="21" t="inlineStr">
        <is>
          <t>法規制・コンプライアンス</t>
        </is>
      </c>
      <c r="C97" s="20" t="inlineStr">
        <is>
          <t>個人情報、電子帳簿保存法、顧客契約、企業間データ共有、越境/共有範囲。</t>
        </is>
      </c>
      <c r="D97" s="21" t="inlineStr">
        <is>
          <t>service_input.txt / HTMLフォームのサンプル値を要約</t>
        </is>
      </c>
    </row>
    <row r="98" ht="32" customHeight="1">
      <c r="A98" s="21" t="inlineStr">
        <is>
          <t>F903</t>
        </is>
      </c>
      <c r="B98" s="21" t="inlineStr">
        <is>
          <t>AI利用上の懸念・NG領域</t>
        </is>
      </c>
      <c r="C98" s="20" t="inlineStr">
        <is>
          <t>誤回答、説明責任、計画/発注への自動反映範囲、複数企業データの利用、プロンプトインジェクション。</t>
        </is>
      </c>
      <c r="D98" s="21" t="inlineStr">
        <is>
          <t>service_input.txt / HTMLフォームのサンプル値を要約</t>
        </is>
      </c>
    </row>
    <row r="99" ht="32" customHeight="1">
      <c r="A99" s="21" t="inlineStr">
        <is>
          <t>F904</t>
        </is>
      </c>
      <c r="B99" s="21" t="inlineStr">
        <is>
          <t>監査・ログ・運用管理</t>
        </is>
      </c>
      <c r="C99" s="20" t="inlineStr">
        <is>
          <t>質問履歴、参照データ、回答根拠、承認履歴、AI提案の採用/却下ログ。</t>
        </is>
      </c>
      <c r="D99" s="21" t="inlineStr">
        <is>
          <t>service_input.txt / HTMLフォームのサンプル値を要約</t>
        </is>
      </c>
    </row>
    <row r="100" ht="32" customHeight="1">
      <c r="A100" s="21" t="inlineStr">
        <is>
          <t>F905</t>
        </is>
      </c>
      <c r="B100" s="21" t="inlineStr">
        <is>
          <t>本番データ利用可能性</t>
        </is>
      </c>
      <c r="C100" s="20" t="inlineStr"/>
      <c r="D100" s="21" t="inlineStr"/>
    </row>
    <row r="101" ht="32" customHeight="1">
      <c r="A101" s="21" t="inlineStr">
        <is>
          <t>F906</t>
        </is>
      </c>
      <c r="B101" s="21" t="inlineStr">
        <is>
          <t>生成AI利用に関する社内承認状況</t>
        </is>
      </c>
      <c r="C101" s="20" t="inlineStr"/>
      <c r="D101" s="21" t="inlineStr"/>
    </row>
    <row r="102" ht="32" customHeight="1">
      <c r="A102" s="21" t="inlineStr">
        <is>
          <t>F1001</t>
        </is>
      </c>
      <c r="B102" s="21" t="inlineStr">
        <is>
          <t>PoC対象顧客・対象業務</t>
        </is>
      </c>
      <c r="C102" s="20" t="inlineStr">
        <is>
          <t>既存データが存在する電脳工場で価値仮説とデータ可用性を確認し、EDIFAS等の周辺データ接続可能性を評価。</t>
        </is>
      </c>
      <c r="D102" s="21" t="inlineStr">
        <is>
          <t>service_input.txt / HTMLフォームのサンプル値を要約</t>
        </is>
      </c>
    </row>
    <row r="103" ht="32" customHeight="1">
      <c r="A103" s="21" t="inlineStr">
        <is>
          <t>F1002</t>
        </is>
      </c>
      <c r="B103" s="21" t="inlineStr">
        <is>
          <t>評価指標・本番化判断基準</t>
        </is>
      </c>
      <c r="C103" s="20" t="inlineStr">
        <is>
          <t>回答精度、予測精度、業務時間削減、在庫/納期KPI改善、レスポンス、コスト、ユーザー評価。</t>
        </is>
      </c>
      <c r="D103" s="21" t="inlineStr">
        <is>
          <t>service_input.txt / HTMLフォームのサンプル値を要約</t>
        </is>
      </c>
    </row>
    <row r="104" ht="32" customHeight="1">
      <c r="A104" s="21" t="inlineStr">
        <is>
          <t>F1003</t>
        </is>
      </c>
      <c r="B104" s="21" t="inlineStr">
        <is>
          <t>希望スケジュール</t>
        </is>
      </c>
      <c r="C104" s="20" t="inlineStr">
        <is>
          <t>3ヶ月以内</t>
        </is>
      </c>
      <c r="D104" s="21" t="inlineStr">
        <is>
          <t>service_input.txt / HTMLフォームのサンプル値を要約</t>
        </is>
      </c>
    </row>
    <row r="105" ht="32" customHeight="1">
      <c r="A105" s="21" t="inlineStr">
        <is>
          <t>F1004</t>
        </is>
      </c>
      <c r="B105" s="21" t="inlineStr">
        <is>
          <t>意思決定者・関係者</t>
        </is>
      </c>
      <c r="C105" s="20" t="inlineStr">
        <is>
          <t>事業責任者、CTO、プロダクト責任者、開発責任者、データ責任者、営業責任者。</t>
        </is>
      </c>
      <c r="D105" s="21" t="inlineStr">
        <is>
          <t>service_input.txt / HTMLフォームのサンプル値を要約</t>
        </is>
      </c>
    </row>
    <row r="106" ht="32" customHeight="1">
      <c r="A106" s="21" t="inlineStr">
        <is>
          <t>F1005</t>
        </is>
      </c>
      <c r="B106" s="21" t="inlineStr">
        <is>
          <t>Oracleへの期待・相談事項</t>
        </is>
      </c>
      <c r="C106" s="20" t="inlineStr"/>
      <c r="D106" s="21" t="inlineStr"/>
    </row>
    <row r="107" ht="32" customHeight="1">
      <c r="A107" s="21" t="inlineStr">
        <is>
          <t>F1006</t>
        </is>
      </c>
      <c r="B107" s="21" t="inlineStr">
        <is>
          <t>アセスメント後に希望する次アクション</t>
        </is>
      </c>
      <c r="C107" s="20" t="inlineStr">
        <is>
          <t>AI Use Case Assessment実施;RAG/Agent PoC;AI Database検証;セキュリティ相談</t>
        </is>
      </c>
      <c r="D107" s="21" t="inlineStr">
        <is>
          <t>service_input.txt / HTMLフォームのサンプル値を要約</t>
        </is>
      </c>
    </row>
    <row r="108" ht="32" customHeight="1">
      <c r="A108" s="21" t="inlineStr">
        <is>
          <t>F1007</t>
        </is>
      </c>
      <c r="B108" s="21" t="inlineStr">
        <is>
          <t>提出予定資料</t>
        </is>
      </c>
      <c r="C108" s="20" t="inlineStr">
        <is>
          <t>製品紹介資料;画面キャプチャ;API仕様;データ項目一覧;業務フロー;システム構成図;FAQ;マニュアル;サンプルデータ</t>
        </is>
      </c>
      <c r="D108" s="21" t="inlineStr">
        <is>
          <t>service_input.txt / HTMLフォームのサンプル値を要約</t>
        </is>
      </c>
    </row>
    <row r="109" ht="32" customHeight="1">
      <c r="A109" s="21" t="inlineStr">
        <is>
          <t>F1008</t>
        </is>
      </c>
      <c r="B109" s="21" t="inlineStr">
        <is>
          <t>関連資料アップロード</t>
        </is>
      </c>
      <c r="C109" s="20" t="inlineStr"/>
      <c r="D109" s="21" t="inlineStr"/>
    </row>
    <row r="110" ht="32" customHeight="1">
      <c r="A110" s="21" t="inlineStr">
        <is>
          <t>F1009</t>
        </is>
      </c>
      <c r="B110" s="21" t="inlineStr">
        <is>
          <t>その他補足</t>
        </is>
      </c>
      <c r="C110" s="20" t="inlineStr">
        <is>
          <t>3プロジェクトの事業KPI、優先課題、意思決定者、リリース時期、データ利用許諾、連携図、PoC評価指標を初回ヒアリングで確定する。</t>
        </is>
      </c>
      <c r="D110" s="21" t="inlineStr">
        <is>
          <t>service_input.txt / HTMLフォームのサンプル値を要約</t>
        </is>
      </c>
    </row>
    <row r="111" ht="32" customHeight="1">
      <c r="A111" s="21" t="inlineStr">
        <is>
          <t>F1010</t>
        </is>
      </c>
      <c r="B111" s="21" t="inlineStr">
        <is>
          <t>入力内容のOracle担当者・事務局への共有可否</t>
        </is>
      </c>
      <c r="C111" s="20" t="inlineStr"/>
      <c r="D111" s="21" t="inlineStr"/>
    </row>
  </sheetData>
  <autoFilter ref="A4:D111"/>
  <mergeCells count="2">
    <mergeCell ref="A2:F2"/>
    <mergeCell ref="A1:F1"/>
  </mergeCells>
  <pageMargins left="0.3" right="0.3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V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</cols>
  <sheetData>
    <row r="1" ht="34" customHeight="1">
      <c r="A1" s="1" t="inlineStr">
        <is>
          <t>選択肢一覧</t>
        </is>
      </c>
    </row>
    <row r="2" ht="34" customHeight="1">
      <c r="A2" s="2" t="inlineStr">
        <is>
          <t>入力フォームのプルダウンに利用する選択肢です。複数選択項目はフォーム上で「;」区切りで入力可能です。</t>
        </is>
      </c>
    </row>
    <row r="4">
      <c r="A4" s="22" t="inlineStr">
        <is>
          <t>F001</t>
        </is>
      </c>
      <c r="B4" s="22" t="inlineStr">
        <is>
          <t>F002</t>
        </is>
      </c>
      <c r="C4" s="22" t="inlineStr">
        <is>
          <t>F105</t>
        </is>
      </c>
      <c r="D4" s="22" t="inlineStr">
        <is>
          <t>F201</t>
        </is>
      </c>
      <c r="E4" s="22" t="inlineStr">
        <is>
          <t>F202</t>
        </is>
      </c>
      <c r="F4" s="22" t="inlineStr">
        <is>
          <t>F212</t>
        </is>
      </c>
      <c r="G4" s="22" t="inlineStr">
        <is>
          <t>F213</t>
        </is>
      </c>
      <c r="H4" s="22" t="inlineStr">
        <is>
          <t>F222</t>
        </is>
      </c>
      <c r="I4" s="22" t="inlineStr">
        <is>
          <t>F223</t>
        </is>
      </c>
      <c r="J4" s="22" t="inlineStr">
        <is>
          <t>F232</t>
        </is>
      </c>
      <c r="K4" s="22" t="inlineStr">
        <is>
          <t>F233</t>
        </is>
      </c>
      <c r="L4" s="22" t="inlineStr">
        <is>
          <t>F302</t>
        </is>
      </c>
      <c r="M4" s="22" t="inlineStr">
        <is>
          <t>F401</t>
        </is>
      </c>
      <c r="N4" s="22" t="inlineStr">
        <is>
          <t>F402</t>
        </is>
      </c>
      <c r="O4" s="22" t="inlineStr">
        <is>
          <t>F403</t>
        </is>
      </c>
      <c r="P4" s="22" t="inlineStr">
        <is>
          <t>F405</t>
        </is>
      </c>
      <c r="Q4" s="22" t="inlineStr">
        <is>
          <t>F502</t>
        </is>
      </c>
      <c r="R4" s="22" t="inlineStr">
        <is>
          <t>F503</t>
        </is>
      </c>
      <c r="S4" s="22" t="inlineStr">
        <is>
          <t>F504</t>
        </is>
      </c>
      <c r="T4" s="22" t="inlineStr">
        <is>
          <t>F509_1</t>
        </is>
      </c>
      <c r="U4" s="22" t="inlineStr">
        <is>
          <t>F509_2</t>
        </is>
      </c>
      <c r="V4" s="22" t="inlineStr">
        <is>
          <t>F509_3</t>
        </is>
      </c>
      <c r="W4" s="22" t="inlineStr">
        <is>
          <t>F509_4</t>
        </is>
      </c>
      <c r="X4" s="22" t="inlineStr">
        <is>
          <t>F509_5</t>
        </is>
      </c>
      <c r="Y4" s="22" t="inlineStr">
        <is>
          <t>F509_6</t>
        </is>
      </c>
      <c r="Z4" s="22" t="inlineStr">
        <is>
          <t>F601</t>
        </is>
      </c>
      <c r="AA4" s="22" t="inlineStr">
        <is>
          <t>F603</t>
        </is>
      </c>
      <c r="AB4" s="22" t="inlineStr">
        <is>
          <t>F604</t>
        </is>
      </c>
      <c r="AC4" s="22" t="inlineStr">
        <is>
          <t>F607</t>
        </is>
      </c>
      <c r="AD4" s="22" t="inlineStr">
        <is>
          <t>F712</t>
        </is>
      </c>
      <c r="AE4" s="22" t="inlineStr">
        <is>
          <t>F713</t>
        </is>
      </c>
      <c r="AF4" s="22" t="inlineStr">
        <is>
          <t>F716</t>
        </is>
      </c>
      <c r="AG4" s="22" t="inlineStr">
        <is>
          <t>F722</t>
        </is>
      </c>
      <c r="AH4" s="22" t="inlineStr">
        <is>
          <t>F723</t>
        </is>
      </c>
      <c r="AI4" s="22" t="inlineStr">
        <is>
          <t>F726</t>
        </is>
      </c>
      <c r="AJ4" s="22" t="inlineStr">
        <is>
          <t>F732</t>
        </is>
      </c>
      <c r="AK4" s="22" t="inlineStr">
        <is>
          <t>F733</t>
        </is>
      </c>
      <c r="AL4" s="22" t="inlineStr">
        <is>
          <t>F736</t>
        </is>
      </c>
      <c r="AM4" s="22" t="inlineStr">
        <is>
          <t>F802</t>
        </is>
      </c>
      <c r="AN4" s="22" t="inlineStr">
        <is>
          <t>F803</t>
        </is>
      </c>
      <c r="AO4" s="22" t="inlineStr">
        <is>
          <t>F805</t>
        </is>
      </c>
      <c r="AP4" s="22" t="inlineStr">
        <is>
          <t>F901</t>
        </is>
      </c>
      <c r="AQ4" s="22" t="inlineStr">
        <is>
          <t>F905</t>
        </is>
      </c>
      <c r="AR4" s="22" t="inlineStr">
        <is>
          <t>F906</t>
        </is>
      </c>
      <c r="AS4" s="22" t="inlineStr">
        <is>
          <t>F1003</t>
        </is>
      </c>
      <c r="AT4" s="22" t="inlineStr">
        <is>
          <t>F1006</t>
        </is>
      </c>
      <c r="AU4" s="22" t="inlineStr">
        <is>
          <t>F1007</t>
        </is>
      </c>
      <c r="AV4" s="22" t="inlineStr">
        <is>
          <t>F1010</t>
        </is>
      </c>
    </row>
    <row r="5">
      <c r="A5" s="23" t="inlineStr">
        <is>
          <t>情報利用目的を確認しましたか？</t>
        </is>
      </c>
      <c r="B5" s="23" t="inlineStr">
        <is>
          <t>本番データ・顧客機密データ・個人情報をアップロードしないことを確認しましたか？</t>
        </is>
      </c>
      <c r="C5" s="23" t="inlineStr">
        <is>
          <t>対象業種・業態</t>
        </is>
      </c>
      <c r="D5" s="23" t="inlineStr">
        <is>
          <t>今回のAssessment対象範囲</t>
        </is>
      </c>
      <c r="E5" s="23" t="inlineStr">
        <is>
          <t>対象プロジェクト数</t>
        </is>
      </c>
      <c r="F5" s="23" t="inlineStr">
        <is>
          <t>プロジェクト1：段階</t>
        </is>
      </c>
      <c r="G5" s="23" t="inlineStr">
        <is>
          <t>プロジェクト1：優先度</t>
        </is>
      </c>
      <c r="H5" s="23" t="inlineStr">
        <is>
          <t>プロジェクト2：段階</t>
        </is>
      </c>
      <c r="I5" s="23" t="inlineStr">
        <is>
          <t>プロジェクト2：優先度</t>
        </is>
      </c>
      <c r="J5" s="23" t="inlineStr">
        <is>
          <t>プロジェクト3：段階</t>
        </is>
      </c>
      <c r="K5" s="23" t="inlineStr">
        <is>
          <t>プロジェクト3：優先度</t>
        </is>
      </c>
      <c r="L5" s="23" t="inlineStr">
        <is>
          <t>提供形態</t>
        </is>
      </c>
      <c r="M5" s="23" t="inlineStr">
        <is>
          <t>ターゲット顧客規模</t>
        </is>
      </c>
      <c r="N5" s="23" t="inlineStr">
        <is>
          <t>価格形態</t>
        </is>
      </c>
      <c r="O5" s="23" t="inlineStr">
        <is>
          <t>ライセンス形式</t>
        </is>
      </c>
      <c r="P5" s="23" t="inlineStr">
        <is>
          <t>AI機能の想定収益モデル</t>
        </is>
      </c>
      <c r="Q5" s="23" t="inlineStr">
        <is>
          <t>データ種別</t>
        </is>
      </c>
      <c r="R5" s="23" t="inlineStr">
        <is>
          <t>データの所在・保持場所</t>
        </is>
      </c>
      <c r="S5" s="23" t="inlineStr">
        <is>
          <t>データ形式・連携方式</t>
        </is>
      </c>
      <c r="T5" s="23" t="inlineStr">
        <is>
          <t>データ成熟度：必要データが存在する</t>
        </is>
      </c>
      <c r="U5" s="23" t="inlineStr">
        <is>
          <t>データ成熟度：データ項目定義が明確</t>
        </is>
      </c>
      <c r="V5" s="23" t="inlineStr">
        <is>
          <t>データ成熟度：データ品質を把握している</t>
        </is>
      </c>
      <c r="W5" s="23" t="inlineStr">
        <is>
          <t>データ成熟度：顧客データ利用許諾が整理済み</t>
        </is>
      </c>
      <c r="X5" s="23" t="inlineStr">
        <is>
          <t>データ成熟度：匿名化・マスキング方針がある</t>
        </is>
      </c>
      <c r="Y5" s="23" t="inlineStr">
        <is>
          <t>データ成熟度：API・連携方式がある</t>
        </is>
      </c>
      <c r="Z5" s="23" t="inlineStr">
        <is>
          <t>AI活用目的</t>
        </is>
      </c>
      <c r="AA5" s="23" t="inlineStr">
        <is>
          <t>期待するAI機能・サービス内容</t>
        </is>
      </c>
      <c r="AB5" s="23" t="inlineStr">
        <is>
          <t>AIの実行レベル</t>
        </is>
      </c>
      <c r="AC5" s="23" t="inlineStr">
        <is>
          <t>AI機能の想定利用者</t>
        </is>
      </c>
      <c r="AD5" s="23" t="inlineStr">
        <is>
          <t>ユースケース1：業務領域</t>
        </is>
      </c>
      <c r="AE5" s="23" t="inlineStr">
        <is>
          <t>ユースケース1：優先度</t>
        </is>
      </c>
      <c r="AF5" s="23" t="inlineStr">
        <is>
          <t>ユースケース1：想定AI技術</t>
        </is>
      </c>
      <c r="AG5" s="23" t="inlineStr">
        <is>
          <t>ユースケース2：業務領域</t>
        </is>
      </c>
      <c r="AH5" s="23" t="inlineStr">
        <is>
          <t>ユースケース2：優先度</t>
        </is>
      </c>
      <c r="AI5" s="23" t="inlineStr">
        <is>
          <t>ユースケース2：想定AI技術</t>
        </is>
      </c>
      <c r="AJ5" s="23" t="inlineStr">
        <is>
          <t>ユースケース3：業務領域</t>
        </is>
      </c>
      <c r="AK5" s="23" t="inlineStr">
        <is>
          <t>ユースケース3：優先度</t>
        </is>
      </c>
      <c r="AL5" s="23" t="inlineStr">
        <is>
          <t>ユースケース3：想定AI技術</t>
        </is>
      </c>
      <c r="AM5" s="23" t="inlineStr">
        <is>
          <t>利用中クラウド/基盤</t>
        </is>
      </c>
      <c r="AN5" s="23" t="inlineStr">
        <is>
          <t>利用中DB/データ基盤</t>
        </is>
      </c>
      <c r="AO5" s="23" t="inlineStr">
        <is>
          <t>OCI上で求める範囲</t>
        </is>
      </c>
      <c r="AP5" s="23" t="inlineStr">
        <is>
          <t>セキュリティ要件</t>
        </is>
      </c>
      <c r="AQ5" s="23" t="inlineStr">
        <is>
          <t>本番データ利用可能性</t>
        </is>
      </c>
      <c r="AR5" s="23" t="inlineStr">
        <is>
          <t>生成AI利用に関する社内承認状況</t>
        </is>
      </c>
      <c r="AS5" s="23" t="inlineStr">
        <is>
          <t>希望スケジュール</t>
        </is>
      </c>
      <c r="AT5" s="23" t="inlineStr">
        <is>
          <t>アセスメント後に希望する次アクション</t>
        </is>
      </c>
      <c r="AU5" s="23" t="inlineStr">
        <is>
          <t>提出予定資料</t>
        </is>
      </c>
      <c r="AV5" s="23" t="inlineStr">
        <is>
          <t>入力内容のOracle担当者・事務局への共有可否</t>
        </is>
      </c>
    </row>
    <row r="6">
      <c r="A6" s="24" t="inlineStr">
        <is>
          <t>確認しました</t>
        </is>
      </c>
      <c r="B6" s="24" t="inlineStr">
        <is>
          <t>確認しました</t>
        </is>
      </c>
      <c r="C6" s="24" t="inlineStr">
        <is>
          <t>製造業</t>
        </is>
      </c>
      <c r="D6" s="24" t="inlineStr">
        <is>
          <t>既存SaaS/クラウドサービス</t>
        </is>
      </c>
      <c r="E6" s="24" t="inlineStr">
        <is>
          <t>1件</t>
        </is>
      </c>
      <c r="F6" s="24" t="inlineStr">
        <is>
          <t>本番運用中</t>
        </is>
      </c>
      <c r="G6" s="24" t="inlineStr">
        <is>
          <t>高</t>
        </is>
      </c>
      <c r="H6" s="24" t="inlineStr">
        <is>
          <t>本番運用中</t>
        </is>
      </c>
      <c r="I6" s="24" t="inlineStr">
        <is>
          <t>高</t>
        </is>
      </c>
      <c r="J6" s="24" t="inlineStr">
        <is>
          <t>本番運用中</t>
        </is>
      </c>
      <c r="K6" s="24" t="inlineStr">
        <is>
          <t>高</t>
        </is>
      </c>
      <c r="L6" s="24" t="inlineStr">
        <is>
          <t>SaaS</t>
        </is>
      </c>
      <c r="M6" s="24" t="inlineStr">
        <is>
          <t>SMB</t>
        </is>
      </c>
      <c r="N6" s="24" t="inlineStr">
        <is>
          <t>月額サブスクリプション</t>
        </is>
      </c>
      <c r="O6" s="24" t="inlineStr">
        <is>
          <t>Named User</t>
        </is>
      </c>
      <c r="P6" s="24" t="inlineStr">
        <is>
          <t>AIアドオン</t>
        </is>
      </c>
      <c r="Q6" s="24" t="inlineStr">
        <is>
          <t>マスタデータ</t>
        </is>
      </c>
      <c r="R6" s="24" t="inlineStr">
        <is>
          <t>自社SaaS DB</t>
        </is>
      </c>
      <c r="S6" s="24" t="inlineStr">
        <is>
          <t>RDB</t>
        </is>
      </c>
      <c r="T6" s="24" t="inlineStr">
        <is>
          <t>未整理</t>
        </is>
      </c>
      <c r="U6" s="24" t="inlineStr">
        <is>
          <t>未整理</t>
        </is>
      </c>
      <c r="V6" s="24" t="inlineStr">
        <is>
          <t>未整理</t>
        </is>
      </c>
      <c r="W6" s="24" t="inlineStr">
        <is>
          <t>未整理</t>
        </is>
      </c>
      <c r="X6" s="24" t="inlineStr">
        <is>
          <t>未整理</t>
        </is>
      </c>
      <c r="Y6" s="24" t="inlineStr">
        <is>
          <t>未整理</t>
        </is>
      </c>
      <c r="Z6" s="24" t="inlineStr">
        <is>
          <t>新サービス開発・収益増</t>
        </is>
      </c>
      <c r="AA6" s="24" t="inlineStr">
        <is>
          <t>RAG/ナレッジ検索</t>
        </is>
      </c>
      <c r="AB6" s="24" t="inlineStr">
        <is>
          <t>説明/回答のみ</t>
        </is>
      </c>
      <c r="AC6" s="24" t="inlineStr">
        <is>
          <t>エンドユーザー</t>
        </is>
      </c>
      <c r="AD6" s="24" t="inlineStr">
        <is>
          <t>需給・在庫</t>
        </is>
      </c>
      <c r="AE6" s="24" t="inlineStr">
        <is>
          <t>高</t>
        </is>
      </c>
      <c r="AF6" s="24" t="inlineStr">
        <is>
          <t>生成AI</t>
        </is>
      </c>
      <c r="AG6" s="24" t="inlineStr">
        <is>
          <t>需給・在庫</t>
        </is>
      </c>
      <c r="AH6" s="24" t="inlineStr">
        <is>
          <t>高</t>
        </is>
      </c>
      <c r="AI6" s="24" t="inlineStr">
        <is>
          <t>生成AI</t>
        </is>
      </c>
      <c r="AJ6" s="24" t="inlineStr">
        <is>
          <t>需給・在庫</t>
        </is>
      </c>
      <c r="AK6" s="24" t="inlineStr">
        <is>
          <t>高</t>
        </is>
      </c>
      <c r="AL6" s="24" t="inlineStr">
        <is>
          <t>生成AI</t>
        </is>
      </c>
      <c r="AM6" s="24" t="inlineStr">
        <is>
          <t>AWS</t>
        </is>
      </c>
      <c r="AN6" s="24" t="inlineStr">
        <is>
          <t>Oracle Database</t>
        </is>
      </c>
      <c r="AO6" s="24" t="inlineStr">
        <is>
          <t>データ基盤</t>
        </is>
      </c>
      <c r="AP6" s="24" t="inlineStr">
        <is>
          <t>テナント分離</t>
        </is>
      </c>
      <c r="AQ6" s="24" t="inlineStr">
        <is>
          <t>利用不可</t>
        </is>
      </c>
      <c r="AR6" s="24" t="inlineStr">
        <is>
          <t>承認済み</t>
        </is>
      </c>
      <c r="AS6" s="24" t="inlineStr">
        <is>
          <t>1ヶ月以内</t>
        </is>
      </c>
      <c r="AT6" s="24" t="inlineStr">
        <is>
          <t>AI Use Case Assessment実施</t>
        </is>
      </c>
      <c r="AU6" s="24" t="inlineStr">
        <is>
          <t>製品紹介資料</t>
        </is>
      </c>
      <c r="AV6" s="24" t="inlineStr">
        <is>
          <t>共有可</t>
        </is>
      </c>
    </row>
    <row r="7">
      <c r="C7" s="24" t="inlineStr">
        <is>
          <t>流通/小売</t>
        </is>
      </c>
      <c r="D7" s="24" t="inlineStr">
        <is>
          <t>既存パッケージ</t>
        </is>
      </c>
      <c r="E7" s="24" t="inlineStr">
        <is>
          <t>2件</t>
        </is>
      </c>
      <c r="F7" s="24" t="inlineStr">
        <is>
          <t>本番環境構築中</t>
        </is>
      </c>
      <c r="G7" s="24" t="inlineStr">
        <is>
          <t>中</t>
        </is>
      </c>
      <c r="H7" s="24" t="inlineStr">
        <is>
          <t>本番環境構築中</t>
        </is>
      </c>
      <c r="I7" s="24" t="inlineStr">
        <is>
          <t>中</t>
        </is>
      </c>
      <c r="J7" s="24" t="inlineStr">
        <is>
          <t>本番環境構築中</t>
        </is>
      </c>
      <c r="K7" s="24" t="inlineStr">
        <is>
          <t>中</t>
        </is>
      </c>
      <c r="L7" s="24" t="inlineStr">
        <is>
          <t>パッケージ</t>
        </is>
      </c>
      <c r="M7" s="24" t="inlineStr">
        <is>
          <t>中堅企業</t>
        </is>
      </c>
      <c r="N7" s="24" t="inlineStr">
        <is>
          <t>年額サブスクリプション</t>
        </is>
      </c>
      <c r="O7" s="24" t="inlineStr">
        <is>
          <t>Concurrent User</t>
        </is>
      </c>
      <c r="P7" s="24" t="inlineStr">
        <is>
          <t>上位プラン</t>
        </is>
      </c>
      <c r="Q7" s="24" t="inlineStr">
        <is>
          <t>トランザクション</t>
        </is>
      </c>
      <c r="R7" s="24" t="inlineStr">
        <is>
          <t>顧客環境</t>
        </is>
      </c>
      <c r="S7" s="24" t="inlineStr">
        <is>
          <t>CSV</t>
        </is>
      </c>
      <c r="T7" s="24" t="inlineStr">
        <is>
          <t>一部整理</t>
        </is>
      </c>
      <c r="U7" s="24" t="inlineStr">
        <is>
          <t>一部整理</t>
        </is>
      </c>
      <c r="V7" s="24" t="inlineStr">
        <is>
          <t>一部整理</t>
        </is>
      </c>
      <c r="W7" s="24" t="inlineStr">
        <is>
          <t>一部整理</t>
        </is>
      </c>
      <c r="X7" s="24" t="inlineStr">
        <is>
          <t>一部整理</t>
        </is>
      </c>
      <c r="Y7" s="24" t="inlineStr">
        <is>
          <t>一部整理</t>
        </is>
      </c>
      <c r="Z7" s="24" t="inlineStr">
        <is>
          <t>競合差別化</t>
        </is>
      </c>
      <c r="AA7" s="24" t="inlineStr">
        <is>
          <t>自然言語でのデータ問い合わせ</t>
        </is>
      </c>
      <c r="AB7" s="24" t="inlineStr">
        <is>
          <t>提案・推奨まで</t>
        </is>
      </c>
      <c r="AC7" s="24" t="inlineStr">
        <is>
          <t>管理者</t>
        </is>
      </c>
      <c r="AD7" s="24" t="inlineStr">
        <is>
          <t>生産計画・進捗</t>
        </is>
      </c>
      <c r="AE7" s="24" t="inlineStr">
        <is>
          <t>中</t>
        </is>
      </c>
      <c r="AF7" s="24" t="inlineStr">
        <is>
          <t>RAG</t>
        </is>
      </c>
      <c r="AG7" s="24" t="inlineStr">
        <is>
          <t>生産計画・進捗</t>
        </is>
      </c>
      <c r="AH7" s="24" t="inlineStr">
        <is>
          <t>中</t>
        </is>
      </c>
      <c r="AI7" s="24" t="inlineStr">
        <is>
          <t>RAG</t>
        </is>
      </c>
      <c r="AJ7" s="24" t="inlineStr">
        <is>
          <t>生産計画・進捗</t>
        </is>
      </c>
      <c r="AK7" s="24" t="inlineStr">
        <is>
          <t>中</t>
        </is>
      </c>
      <c r="AL7" s="24" t="inlineStr">
        <is>
          <t>RAG</t>
        </is>
      </c>
      <c r="AM7" s="24" t="inlineStr">
        <is>
          <t>Azure</t>
        </is>
      </c>
      <c r="AN7" s="24" t="inlineStr">
        <is>
          <t>PostgreSQL</t>
        </is>
      </c>
      <c r="AO7" s="24" t="inlineStr">
        <is>
          <t>生成AI</t>
        </is>
      </c>
      <c r="AP7" s="24" t="inlineStr">
        <is>
          <t>暗号化</t>
        </is>
      </c>
      <c r="AQ7" s="24" t="inlineStr">
        <is>
          <t>匿名化データのみ可</t>
        </is>
      </c>
      <c r="AR7" s="24" t="inlineStr">
        <is>
          <t>条件付き承認</t>
        </is>
      </c>
      <c r="AS7" s="24" t="inlineStr">
        <is>
          <t>3ヶ月以内</t>
        </is>
      </c>
      <c r="AT7" s="24" t="inlineStr">
        <is>
          <t>RAG/Agent PoC</t>
        </is>
      </c>
      <c r="AU7" s="24" t="inlineStr">
        <is>
          <t>画面キャプチャ</t>
        </is>
      </c>
      <c r="AV7" s="24" t="inlineStr">
        <is>
          <t>個別範囲を相談</t>
        </is>
      </c>
    </row>
    <row r="8">
      <c r="C8" s="24" t="inlineStr">
        <is>
          <t>金融</t>
        </is>
      </c>
      <c r="D8" s="24" t="inlineStr">
        <is>
          <t>新規サービス/新規SaaS</t>
        </is>
      </c>
      <c r="E8" s="24" t="inlineStr">
        <is>
          <t>3件以上</t>
        </is>
      </c>
      <c r="F8" s="24" t="inlineStr">
        <is>
          <t>開発中</t>
        </is>
      </c>
      <c r="G8" s="24" t="inlineStr">
        <is>
          <t>低</t>
        </is>
      </c>
      <c r="H8" s="24" t="inlineStr">
        <is>
          <t>開発中</t>
        </is>
      </c>
      <c r="I8" s="24" t="inlineStr">
        <is>
          <t>低</t>
        </is>
      </c>
      <c r="J8" s="24" t="inlineStr">
        <is>
          <t>開発中</t>
        </is>
      </c>
      <c r="K8" s="24" t="inlineStr">
        <is>
          <t>低</t>
        </is>
      </c>
      <c r="L8" s="24" t="inlineStr">
        <is>
          <t>オンプレミス</t>
        </is>
      </c>
      <c r="M8" s="24" t="inlineStr">
        <is>
          <t>大企業</t>
        </is>
      </c>
      <c r="N8" s="24" t="inlineStr">
        <is>
          <t>ユーザー課金</t>
        </is>
      </c>
      <c r="O8" s="24" t="inlineStr">
        <is>
          <t>Site License</t>
        </is>
      </c>
      <c r="P8" s="24" t="inlineStr">
        <is>
          <t>利用量課金</t>
        </is>
      </c>
      <c r="Q8" s="24" t="inlineStr">
        <is>
          <t>文書/PDF/マニュアル</t>
        </is>
      </c>
      <c r="R8" s="24" t="inlineStr">
        <is>
          <t>外部基幹システム</t>
        </is>
      </c>
      <c r="S8" s="24" t="inlineStr">
        <is>
          <t>API</t>
        </is>
      </c>
      <c r="T8" s="24" t="inlineStr">
        <is>
          <t>整理済み</t>
        </is>
      </c>
      <c r="U8" s="24" t="inlineStr">
        <is>
          <t>整理済み</t>
        </is>
      </c>
      <c r="V8" s="24" t="inlineStr">
        <is>
          <t>整理済み</t>
        </is>
      </c>
      <c r="W8" s="24" t="inlineStr">
        <is>
          <t>整理済み</t>
        </is>
      </c>
      <c r="X8" s="24" t="inlineStr">
        <is>
          <t>整理済み</t>
        </is>
      </c>
      <c r="Y8" s="24" t="inlineStr">
        <is>
          <t>整理済み</t>
        </is>
      </c>
      <c r="Z8" s="24" t="inlineStr">
        <is>
          <t>業務効率化・運用効率化</t>
        </is>
      </c>
      <c r="AA8" s="24" t="inlineStr">
        <is>
          <t>要約</t>
        </is>
      </c>
      <c r="AB8" s="24" t="inlineStr">
        <is>
          <t>人間承認後に実行</t>
        </is>
      </c>
      <c r="AC8" s="24" t="inlineStr">
        <is>
          <t>経営/管理職</t>
        </is>
      </c>
      <c r="AD8" s="24" t="inlineStr">
        <is>
          <t>原価・調達</t>
        </is>
      </c>
      <c r="AE8" s="24" t="inlineStr">
        <is>
          <t>低</t>
        </is>
      </c>
      <c r="AF8" s="24" t="inlineStr">
        <is>
          <t>Vector Search</t>
        </is>
      </c>
      <c r="AG8" s="24" t="inlineStr">
        <is>
          <t>原価・調達</t>
        </is>
      </c>
      <c r="AH8" s="24" t="inlineStr">
        <is>
          <t>低</t>
        </is>
      </c>
      <c r="AI8" s="24" t="inlineStr">
        <is>
          <t>Vector Search</t>
        </is>
      </c>
      <c r="AJ8" s="24" t="inlineStr">
        <is>
          <t>原価・調達</t>
        </is>
      </c>
      <c r="AK8" s="24" t="inlineStr">
        <is>
          <t>低</t>
        </is>
      </c>
      <c r="AL8" s="24" t="inlineStr">
        <is>
          <t>Vector Search</t>
        </is>
      </c>
      <c r="AM8" s="24" t="inlineStr">
        <is>
          <t>Google Cloud</t>
        </is>
      </c>
      <c r="AN8" s="24" t="inlineStr">
        <is>
          <t>MySQL</t>
        </is>
      </c>
      <c r="AO8" s="24" t="inlineStr">
        <is>
          <t>RAG</t>
        </is>
      </c>
      <c r="AP8" s="24" t="inlineStr">
        <is>
          <t>アクセス制御</t>
        </is>
      </c>
      <c r="AQ8" s="24" t="inlineStr">
        <is>
          <t>サンプルデータのみ可</t>
        </is>
      </c>
      <c r="AR8" s="24" t="inlineStr">
        <is>
          <t>申請中</t>
        </is>
      </c>
      <c r="AS8" s="24" t="inlineStr">
        <is>
          <t>6ヶ月以内</t>
        </is>
      </c>
      <c r="AT8" s="24" t="inlineStr">
        <is>
          <t>AI Database検証</t>
        </is>
      </c>
      <c r="AU8" s="24" t="inlineStr">
        <is>
          <t>API仕様</t>
        </is>
      </c>
      <c r="AV8" s="24" t="inlineStr">
        <is>
          <t>共有不可</t>
        </is>
      </c>
    </row>
    <row r="9">
      <c r="C9" s="24" t="inlineStr">
        <is>
          <t>医療/ヘルスケア</t>
        </is>
      </c>
      <c r="D9" s="24" t="inlineStr">
        <is>
          <t>本番環境構築中</t>
        </is>
      </c>
      <c r="E9" s="24" t="inlineStr">
        <is>
          <t>未定</t>
        </is>
      </c>
      <c r="F9" s="24" t="inlineStr">
        <is>
          <t>構想中</t>
        </is>
      </c>
      <c r="G9" s="24" t="inlineStr">
        <is>
          <t>未定</t>
        </is>
      </c>
      <c r="H9" s="24" t="inlineStr">
        <is>
          <t>構想中</t>
        </is>
      </c>
      <c r="I9" s="24" t="inlineStr">
        <is>
          <t>未定</t>
        </is>
      </c>
      <c r="J9" s="24" t="inlineStr">
        <is>
          <t>構想中</t>
        </is>
      </c>
      <c r="K9" s="24" t="inlineStr">
        <is>
          <t>未定</t>
        </is>
      </c>
      <c r="L9" s="24" t="inlineStr">
        <is>
          <t>クラウドサービス</t>
        </is>
      </c>
      <c r="M9" s="24" t="inlineStr">
        <is>
          <t>エンタープライズ</t>
        </is>
      </c>
      <c r="N9" s="24" t="inlineStr">
        <is>
          <t>テナント課金</t>
        </is>
      </c>
      <c r="O9" s="24" t="inlineStr">
        <is>
          <t>Tenant License</t>
        </is>
      </c>
      <c r="P9" s="24" t="inlineStr">
        <is>
          <t>AI Agent実行回数課金</t>
        </is>
      </c>
      <c r="Q9" s="24" t="inlineStr">
        <is>
          <t>ログ/利用履歴</t>
        </is>
      </c>
      <c r="R9" s="24" t="inlineStr">
        <is>
          <t>ファイル/文書ストレージ</t>
        </is>
      </c>
      <c r="S9" s="24" t="inlineStr">
        <is>
          <t>EDI</t>
        </is>
      </c>
      <c r="T9" s="24" t="inlineStr">
        <is>
          <t>検証済み</t>
        </is>
      </c>
      <c r="U9" s="24" t="inlineStr">
        <is>
          <t>検証済み</t>
        </is>
      </c>
      <c r="V9" s="24" t="inlineStr">
        <is>
          <t>検証済み</t>
        </is>
      </c>
      <c r="W9" s="24" t="inlineStr">
        <is>
          <t>検証済み</t>
        </is>
      </c>
      <c r="X9" s="24" t="inlineStr">
        <is>
          <t>検証済み</t>
        </is>
      </c>
      <c r="Y9" s="24" t="inlineStr">
        <is>
          <t>検証済み</t>
        </is>
      </c>
      <c r="Z9" s="24" t="inlineStr">
        <is>
          <t>顧客体験向上</t>
        </is>
      </c>
      <c r="AA9" s="24" t="inlineStr">
        <is>
          <t>文書/帳票生成</t>
        </is>
      </c>
      <c r="AB9" s="24" t="inlineStr">
        <is>
          <t>条件付きで自動実行</t>
        </is>
      </c>
      <c r="AC9" s="24" t="inlineStr">
        <is>
          <t>サポート担当</t>
        </is>
      </c>
      <c r="AD9" s="24" t="inlineStr">
        <is>
          <t>業務支援</t>
        </is>
      </c>
      <c r="AE9" s="24" t="inlineStr">
        <is>
          <t>未定</t>
        </is>
      </c>
      <c r="AF9" s="24" t="inlineStr">
        <is>
          <t>AI Agent</t>
        </is>
      </c>
      <c r="AG9" s="24" t="inlineStr">
        <is>
          <t>業務支援</t>
        </is>
      </c>
      <c r="AH9" s="24" t="inlineStr">
        <is>
          <t>未定</t>
        </is>
      </c>
      <c r="AI9" s="24" t="inlineStr">
        <is>
          <t>AI Agent</t>
        </is>
      </c>
      <c r="AJ9" s="24" t="inlineStr">
        <is>
          <t>業務支援</t>
        </is>
      </c>
      <c r="AK9" s="24" t="inlineStr">
        <is>
          <t>未定</t>
        </is>
      </c>
      <c r="AL9" s="24" t="inlineStr">
        <is>
          <t>AI Agent</t>
        </is>
      </c>
      <c r="AM9" s="24" t="inlineStr">
        <is>
          <t>OCI</t>
        </is>
      </c>
      <c r="AN9" s="24" t="inlineStr">
        <is>
          <t>SQL Server</t>
        </is>
      </c>
      <c r="AO9" s="24" t="inlineStr">
        <is>
          <t>AI Agent</t>
        </is>
      </c>
      <c r="AP9" s="24" t="inlineStr">
        <is>
          <t>監査ログ</t>
        </is>
      </c>
      <c r="AQ9" s="24" t="inlineStr">
        <is>
          <t>条件付きで本番データ可</t>
        </is>
      </c>
      <c r="AR9" s="24" t="inlineStr">
        <is>
          <t>未承認</t>
        </is>
      </c>
      <c r="AS9" s="24" t="inlineStr">
        <is>
          <t>FY内</t>
        </is>
      </c>
      <c r="AT9" s="24" t="inlineStr">
        <is>
          <t>OCI移行/コスト相談</t>
        </is>
      </c>
      <c r="AU9" s="24" t="inlineStr">
        <is>
          <t>データ項目一覧</t>
        </is>
      </c>
    </row>
    <row r="10">
      <c r="C10" s="24" t="inlineStr">
        <is>
          <t>公共</t>
        </is>
      </c>
      <c r="D10" s="24" t="inlineStr">
        <is>
          <t>開発中</t>
        </is>
      </c>
      <c r="F10" s="24" t="inlineStr">
        <is>
          <t>PoC中</t>
        </is>
      </c>
      <c r="H10" s="24" t="inlineStr">
        <is>
          <t>PoC中</t>
        </is>
      </c>
      <c r="J10" s="24" t="inlineStr">
        <is>
          <t>PoC中</t>
        </is>
      </c>
      <c r="L10" s="24" t="inlineStr">
        <is>
          <t>プラットフォーム</t>
        </is>
      </c>
      <c r="M10" s="24" t="inlineStr">
        <is>
          <t>公共</t>
        </is>
      </c>
      <c r="N10" s="24" t="inlineStr">
        <is>
          <t>API/利用量課金</t>
        </is>
      </c>
      <c r="O10" s="24" t="inlineStr">
        <is>
          <t>Device/拠点課金</t>
        </is>
      </c>
      <c r="P10" s="24" t="inlineStr">
        <is>
          <t>帳票/文書処理件数課金</t>
        </is>
      </c>
      <c r="Q10" s="24" t="inlineStr">
        <is>
          <t>画像/図面/帳票</t>
        </is>
      </c>
      <c r="R10" s="24" t="inlineStr">
        <is>
          <t>DWH/Datamart</t>
        </is>
      </c>
      <c r="S10" s="24" t="inlineStr">
        <is>
          <t>PDF/文書</t>
        </is>
      </c>
      <c r="T10" s="24" t="inlineStr">
        <is>
          <t>不明</t>
        </is>
      </c>
      <c r="U10" s="24" t="inlineStr">
        <is>
          <t>不明</t>
        </is>
      </c>
      <c r="V10" s="24" t="inlineStr">
        <is>
          <t>不明</t>
        </is>
      </c>
      <c r="W10" s="24" t="inlineStr">
        <is>
          <t>不明</t>
        </is>
      </c>
      <c r="X10" s="24" t="inlineStr">
        <is>
          <t>不明</t>
        </is>
      </c>
      <c r="Y10" s="24" t="inlineStr">
        <is>
          <t>不明</t>
        </is>
      </c>
      <c r="Z10" s="24" t="inlineStr">
        <is>
          <t>従業員体験向上</t>
        </is>
      </c>
      <c r="AA10" s="24" t="inlineStr">
        <is>
          <t>予測</t>
        </is>
      </c>
      <c r="AB10" s="24" t="inlineStr">
        <is>
          <t>完全自動実行を検討</t>
        </is>
      </c>
      <c r="AC10" s="24" t="inlineStr">
        <is>
          <t>開発/運用担当</t>
        </is>
      </c>
      <c r="AD10" s="24" t="inlineStr">
        <is>
          <t>サプライチェーン</t>
        </is>
      </c>
      <c r="AF10" s="24" t="inlineStr">
        <is>
          <t>自然言語SQL/NL2SQL</t>
        </is>
      </c>
      <c r="AG10" s="24" t="inlineStr">
        <is>
          <t>サプライチェーン</t>
        </is>
      </c>
      <c r="AI10" s="24" t="inlineStr">
        <is>
          <t>自然言語SQL/NL2SQL</t>
        </is>
      </c>
      <c r="AJ10" s="24" t="inlineStr">
        <is>
          <t>サプライチェーン</t>
        </is>
      </c>
      <c r="AL10" s="24" t="inlineStr">
        <is>
          <t>自然言語SQL/NL2SQL</t>
        </is>
      </c>
      <c r="AM10" s="24" t="inlineStr">
        <is>
          <t>オンプレミス</t>
        </is>
      </c>
      <c r="AN10" s="24" t="inlineStr">
        <is>
          <t>NoSQL</t>
        </is>
      </c>
      <c r="AO10" s="24" t="inlineStr">
        <is>
          <t>Vector Search</t>
        </is>
      </c>
      <c r="AP10" s="24" t="inlineStr">
        <is>
          <t>ネットワーク分離</t>
        </is>
      </c>
      <c r="AQ10" s="24" t="inlineStr">
        <is>
          <t>個別合意後に判断</t>
        </is>
      </c>
      <c r="AR10" s="24" t="inlineStr">
        <is>
          <t>未確認</t>
        </is>
      </c>
      <c r="AS10" s="24" t="inlineStr">
        <is>
          <t>未定</t>
        </is>
      </c>
      <c r="AT10" s="24" t="inlineStr">
        <is>
          <t>セキュリティ相談</t>
        </is>
      </c>
      <c r="AU10" s="24" t="inlineStr">
        <is>
          <t>業務フロー</t>
        </is>
      </c>
    </row>
    <row r="11">
      <c r="C11" s="24" t="inlineStr">
        <is>
          <t>建設</t>
        </is>
      </c>
      <c r="D11" s="24" t="inlineStr">
        <is>
          <t>構想中</t>
        </is>
      </c>
      <c r="F11" s="24" t="inlineStr">
        <is>
          <t>未定</t>
        </is>
      </c>
      <c r="H11" s="24" t="inlineStr">
        <is>
          <t>未定</t>
        </is>
      </c>
      <c r="J11" s="24" t="inlineStr">
        <is>
          <t>未定</t>
        </is>
      </c>
      <c r="L11" s="24" t="inlineStr">
        <is>
          <t>導入支援/コンサル</t>
        </is>
      </c>
      <c r="M11" s="24" t="inlineStr">
        <is>
          <t>海外</t>
        </is>
      </c>
      <c r="N11" s="24" t="inlineStr">
        <is>
          <t>初期費用</t>
        </is>
      </c>
      <c r="O11" s="24" t="inlineStr">
        <is>
          <t>API Call</t>
        </is>
      </c>
      <c r="P11" s="24" t="inlineStr">
        <is>
          <t>成果/業務KPI連動</t>
        </is>
      </c>
      <c r="Q11" s="24" t="inlineStr">
        <is>
          <t>音声/会話</t>
        </is>
      </c>
      <c r="R11" s="24" t="inlineStr">
        <is>
          <t>Object Storage</t>
        </is>
      </c>
      <c r="S11" s="24" t="inlineStr">
        <is>
          <t>画像/帳票</t>
        </is>
      </c>
      <c r="Z11" s="24" t="inlineStr">
        <is>
          <t>コスト/原価率改善</t>
        </is>
      </c>
      <c r="AA11" s="24" t="inlineStr">
        <is>
          <t>異常検知</t>
        </is>
      </c>
      <c r="AB11" s="24" t="inlineStr">
        <is>
          <t>未定</t>
        </is>
      </c>
      <c r="AC11" s="24" t="inlineStr">
        <is>
          <t>顧客企業のIT部門</t>
        </is>
      </c>
      <c r="AD11" s="24" t="inlineStr">
        <is>
          <t>製品開発・運用</t>
        </is>
      </c>
      <c r="AF11" s="24" t="inlineStr">
        <is>
          <t>予測/時系列分析</t>
        </is>
      </c>
      <c r="AG11" s="24" t="inlineStr">
        <is>
          <t>製品開発・運用</t>
        </is>
      </c>
      <c r="AI11" s="24" t="inlineStr">
        <is>
          <t>予測/時系列分析</t>
        </is>
      </c>
      <c r="AJ11" s="24" t="inlineStr">
        <is>
          <t>製品開発・運用</t>
        </is>
      </c>
      <c r="AL11" s="24" t="inlineStr">
        <is>
          <t>予測/時系列分析</t>
        </is>
      </c>
      <c r="AM11" s="24" t="inlineStr">
        <is>
          <t>自社DC</t>
        </is>
      </c>
      <c r="AN11" s="24" t="inlineStr">
        <is>
          <t>DWH</t>
        </is>
      </c>
      <c r="AO11" s="24" t="inlineStr">
        <is>
          <t>アプリ連携</t>
        </is>
      </c>
      <c r="AP11" s="24" t="inlineStr">
        <is>
          <t>キー管理</t>
        </is>
      </c>
      <c r="AQ11" s="24" t="inlineStr">
        <is>
          <t>未定</t>
        </is>
      </c>
      <c r="AT11" s="24" t="inlineStr">
        <is>
          <t>共同GTM/Marketplace検討</t>
        </is>
      </c>
      <c r="AU11" s="24" t="inlineStr">
        <is>
          <t>システム構成図</t>
        </is>
      </c>
    </row>
    <row r="12">
      <c r="C12" s="24" t="inlineStr">
        <is>
          <t>バックオフィス</t>
        </is>
      </c>
      <c r="D12" s="24" t="inlineStr">
        <is>
          <t>複数プロジェクト横断</t>
        </is>
      </c>
      <c r="L12" s="24" t="inlineStr">
        <is>
          <t>保守/運用支援</t>
        </is>
      </c>
      <c r="M12" s="24" t="inlineStr">
        <is>
          <t>未定</t>
        </is>
      </c>
      <c r="N12" s="24" t="inlineStr">
        <is>
          <t>保守費</t>
        </is>
      </c>
      <c r="O12" s="24" t="inlineStr">
        <is>
          <t>Transaction</t>
        </is>
      </c>
      <c r="P12" s="24" t="inlineStr">
        <is>
          <t>標準機能化による解約率低減</t>
        </is>
      </c>
      <c r="Q12" s="24" t="inlineStr">
        <is>
          <t>外部データ/API</t>
        </is>
      </c>
      <c r="R12" s="24" t="inlineStr">
        <is>
          <t>EDI/外部取引基盤</t>
        </is>
      </c>
      <c r="S12" s="24" t="inlineStr">
        <is>
          <t>ログ</t>
        </is>
      </c>
      <c r="Z12" s="24" t="inlineStr">
        <is>
          <t>リスク低減・品質向上</t>
        </is>
      </c>
      <c r="AA12" s="24" t="inlineStr">
        <is>
          <t>最適化/推薦</t>
        </is>
      </c>
      <c r="AC12" s="24" t="inlineStr">
        <is>
          <t>取引先/サプライヤー</t>
        </is>
      </c>
      <c r="AD12" s="24" t="inlineStr">
        <is>
          <t>カスタマーサポート</t>
        </is>
      </c>
      <c r="AF12" s="24" t="inlineStr">
        <is>
          <t>異常検知</t>
        </is>
      </c>
      <c r="AG12" s="24" t="inlineStr">
        <is>
          <t>カスタマーサポート</t>
        </is>
      </c>
      <c r="AI12" s="24" t="inlineStr">
        <is>
          <t>異常検知</t>
        </is>
      </c>
      <c r="AJ12" s="24" t="inlineStr">
        <is>
          <t>カスタマーサポート</t>
        </is>
      </c>
      <c r="AL12" s="24" t="inlineStr">
        <is>
          <t>異常検知</t>
        </is>
      </c>
      <c r="AM12" s="24" t="inlineStr">
        <is>
          <t>SaaS/PaaS</t>
        </is>
      </c>
      <c r="AN12" s="24" t="inlineStr">
        <is>
          <t>Data Lake</t>
        </is>
      </c>
      <c r="AO12" s="24" t="inlineStr">
        <is>
          <t>セキュリティ</t>
        </is>
      </c>
      <c r="AP12" s="24" t="inlineStr">
        <is>
          <t>データ保管場所</t>
        </is>
      </c>
      <c r="AT12" s="24" t="inlineStr">
        <is>
          <t>未定</t>
        </is>
      </c>
      <c r="AU12" s="24" t="inlineStr">
        <is>
          <t>FAQ</t>
        </is>
      </c>
    </row>
    <row r="13">
      <c r="C13" s="24" t="inlineStr">
        <is>
          <t>物流/SCM</t>
        </is>
      </c>
      <c r="L13" s="24" t="inlineStr">
        <is>
          <t>その他</t>
        </is>
      </c>
      <c r="N13" s="24" t="inlineStr">
        <is>
          <t>ライセンス買い切り</t>
        </is>
      </c>
      <c r="O13" s="24" t="inlineStr">
        <is>
          <t>その他</t>
        </is>
      </c>
      <c r="P13" s="24" t="inlineStr">
        <is>
          <t>未定</t>
        </is>
      </c>
      <c r="Q13" s="24" t="inlineStr">
        <is>
          <t>複数企業間データ</t>
        </is>
      </c>
      <c r="R13" s="24" t="inlineStr">
        <is>
          <t>未定</t>
        </is>
      </c>
      <c r="S13" s="24" t="inlineStr">
        <is>
          <t>音声</t>
        </is>
      </c>
      <c r="Z13" s="24" t="inlineStr">
        <is>
          <t>開発生産性向上</t>
        </is>
      </c>
      <c r="AA13" s="24" t="inlineStr">
        <is>
          <t>画像・帳票認識</t>
        </is>
      </c>
      <c r="AC13" s="24" t="inlineStr">
        <is>
          <t>その他</t>
        </is>
      </c>
      <c r="AD13" s="24" t="inlineStr">
        <is>
          <t>セキュリティ</t>
        </is>
      </c>
      <c r="AF13" s="24" t="inlineStr">
        <is>
          <t>最適化</t>
        </is>
      </c>
      <c r="AG13" s="24" t="inlineStr">
        <is>
          <t>セキュリティ</t>
        </is>
      </c>
      <c r="AI13" s="24" t="inlineStr">
        <is>
          <t>最適化</t>
        </is>
      </c>
      <c r="AJ13" s="24" t="inlineStr">
        <is>
          <t>セキュリティ</t>
        </is>
      </c>
      <c r="AL13" s="24" t="inlineStr">
        <is>
          <t>最適化</t>
        </is>
      </c>
      <c r="AM13" s="24" t="inlineStr">
        <is>
          <t>未定/非公開</t>
        </is>
      </c>
      <c r="AN13" s="24" t="inlineStr">
        <is>
          <t>Search Engine</t>
        </is>
      </c>
      <c r="AO13" s="24" t="inlineStr">
        <is>
          <t>監視・運用</t>
        </is>
      </c>
      <c r="AP13" s="24" t="inlineStr">
        <is>
          <t>脆弱性管理</t>
        </is>
      </c>
      <c r="AU13" s="24" t="inlineStr">
        <is>
          <t>マニュアル</t>
        </is>
      </c>
    </row>
    <row r="14">
      <c r="C14" s="24" t="inlineStr">
        <is>
          <t>教育</t>
        </is>
      </c>
      <c r="N14" s="24" t="inlineStr">
        <is>
          <t>個別見積</t>
        </is>
      </c>
      <c r="Q14" s="24" t="inlineStr">
        <is>
          <t>個人情報/機密情報を含む</t>
        </is>
      </c>
      <c r="S14" s="24" t="inlineStr">
        <is>
          <t>その他</t>
        </is>
      </c>
      <c r="AA14" s="24" t="inlineStr">
        <is>
          <t>音声/議事録</t>
        </is>
      </c>
      <c r="AD14" s="24" t="inlineStr">
        <is>
          <t>その他</t>
        </is>
      </c>
      <c r="AF14" s="24" t="inlineStr">
        <is>
          <t>画像認識</t>
        </is>
      </c>
      <c r="AG14" s="24" t="inlineStr">
        <is>
          <t>その他</t>
        </is>
      </c>
      <c r="AI14" s="24" t="inlineStr">
        <is>
          <t>画像認識</t>
        </is>
      </c>
      <c r="AJ14" s="24" t="inlineStr">
        <is>
          <t>その他</t>
        </is>
      </c>
      <c r="AL14" s="24" t="inlineStr">
        <is>
          <t>画像認識</t>
        </is>
      </c>
      <c r="AN14" s="24" t="inlineStr">
        <is>
          <t>その他</t>
        </is>
      </c>
      <c r="AO14" s="24" t="inlineStr">
        <is>
          <t>移行/マルチクラウド</t>
        </is>
      </c>
      <c r="AP14" s="24" t="inlineStr">
        <is>
          <t>プロンプト/入力制御</t>
        </is>
      </c>
      <c r="AU14" s="24" t="inlineStr">
        <is>
          <t>サンプルデータ</t>
        </is>
      </c>
    </row>
    <row r="15">
      <c r="C15" s="24" t="inlineStr">
        <is>
          <t>不動産</t>
        </is>
      </c>
      <c r="AA15" s="24" t="inlineStr">
        <is>
          <t>AI Agentによる業務実行支援</t>
        </is>
      </c>
      <c r="AF15" s="24" t="inlineStr">
        <is>
          <t>文書理解/OCR</t>
        </is>
      </c>
      <c r="AI15" s="24" t="inlineStr">
        <is>
          <t>文書理解/OCR</t>
        </is>
      </c>
      <c r="AL15" s="24" t="inlineStr">
        <is>
          <t>文書理解/OCR</t>
        </is>
      </c>
      <c r="AO15" s="24" t="inlineStr">
        <is>
          <t>PoC環境</t>
        </is>
      </c>
      <c r="AP15" s="24" t="inlineStr">
        <is>
          <t>出力フィルタリング</t>
        </is>
      </c>
      <c r="AU15" s="24" t="inlineStr">
        <is>
          <t>なし/後日</t>
        </is>
      </c>
    </row>
    <row r="16">
      <c r="C16" s="24" t="inlineStr">
        <is>
          <t>その他</t>
        </is>
      </c>
      <c r="AA16" s="24" t="inlineStr">
        <is>
          <t>コード/開発支援</t>
        </is>
      </c>
      <c r="AF16" s="24" t="inlineStr">
        <is>
          <t>音声認識</t>
        </is>
      </c>
      <c r="AI16" s="24" t="inlineStr">
        <is>
          <t>音声認識</t>
        </is>
      </c>
      <c r="AL16" s="24" t="inlineStr">
        <is>
          <t>音声認識</t>
        </is>
      </c>
      <c r="AO16" s="24" t="inlineStr">
        <is>
          <t>未定</t>
        </is>
      </c>
    </row>
    <row r="17">
      <c r="AA17" s="24" t="inlineStr">
        <is>
          <t>運用監視</t>
        </is>
      </c>
      <c r="AF17" s="24" t="inlineStr">
        <is>
          <t>データ可視化</t>
        </is>
      </c>
      <c r="AI17" s="24" t="inlineStr">
        <is>
          <t>データ可視化</t>
        </is>
      </c>
      <c r="AL17" s="24" t="inlineStr">
        <is>
          <t>データ可視化</t>
        </is>
      </c>
    </row>
    <row r="18">
      <c r="AF18" s="24" t="inlineStr">
        <is>
          <t>Human-in-the-loop</t>
        </is>
      </c>
      <c r="AI18" s="24" t="inlineStr">
        <is>
          <t>Human-in-the-loop</t>
        </is>
      </c>
      <c r="AL18" s="24" t="inlineStr">
        <is>
          <t>Human-in-the-loop</t>
        </is>
      </c>
    </row>
  </sheetData>
  <mergeCells count="2">
    <mergeCell ref="A2:L2"/>
    <mergeCell ref="A1:L1"/>
  </mergeCells>
  <pageMargins left="0.3" right="0.3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70" customWidth="1" min="3" max="3"/>
    <col width="70" customWidth="1" min="4" max="4"/>
  </cols>
  <sheetData>
    <row r="1" ht="34" customHeight="1">
      <c r="A1" s="1" t="inlineStr">
        <is>
          <t>Sources</t>
        </is>
      </c>
    </row>
    <row r="2" ht="34" customHeight="1">
      <c r="A2" s="2" t="inlineStr">
        <is>
          <t>本ワークブックで参照したファイル・資料です。スプレッドシート内ではURL/ファイルパスをプレーンテキストで記載しています。</t>
        </is>
      </c>
    </row>
    <row r="4">
      <c r="A4" s="3" t="inlineStr">
        <is>
          <t>区分</t>
        </is>
      </c>
      <c r="B4" s="3" t="inlineStr">
        <is>
          <t>資料/ページ</t>
        </is>
      </c>
      <c r="C4" s="3" t="inlineStr">
        <is>
          <t>URL/ファイル</t>
        </is>
      </c>
      <c r="D4" s="3" t="inlineStr">
        <is>
          <t>用途</t>
        </is>
      </c>
    </row>
    <row r="5" ht="34" customHeight="1">
      <c r="A5" s="21" t="inlineStr">
        <is>
          <t>Uploaded file</t>
        </is>
      </c>
      <c r="B5" s="21" t="inlineStr">
        <is>
          <t>service_input.txt</t>
        </is>
      </c>
      <c r="C5" s="21" t="inlineStr">
        <is>
          <t>/mnt/data/service_input.txt</t>
        </is>
      </c>
      <c r="D5" s="21" t="inlineStr">
        <is>
          <t>株式会社エクスのサンプル内容、製品/サービス、AI論点、ヒアリング項目の元資料</t>
        </is>
      </c>
    </row>
    <row r="6" ht="34" customHeight="1">
      <c r="A6" s="21" t="inlineStr">
        <is>
          <t>Uploaded/generated file</t>
        </is>
      </c>
      <c r="B6" s="21" t="inlineStr">
        <is>
          <t>isv_ai_use_case_assessment_input_form.html</t>
        </is>
      </c>
      <c r="C6" s="21" t="inlineStr">
        <is>
          <t>/mnt/data/isv_ai_use_case_assessment_input_form.html</t>
        </is>
      </c>
      <c r="D6" s="21" t="inlineStr">
        <is>
          <t>HTMLフォームの10セクション・項目構成・サンプル値</t>
        </is>
      </c>
    </row>
    <row r="7" ht="34" customHeight="1">
      <c r="A7" s="21" t="inlineStr">
        <is>
          <t>Generated file</t>
        </is>
      </c>
      <c r="B7" s="21" t="inlineStr">
        <is>
          <t>ISV_AI_Use_Case_Assessment_MSForms_Format.xlsx</t>
        </is>
      </c>
      <c r="C7" s="21" t="inlineStr">
        <is>
          <t>/mnt/data/ISV_AI_Use_Case_Assessment_MSForms_Format.xlsx</t>
        </is>
      </c>
      <c r="D7" s="21" t="inlineStr">
        <is>
          <t>Microsoft Forms設計書、SharePoint列定義、設問定義</t>
        </is>
      </c>
    </row>
    <row r="8" ht="34" customHeight="1">
      <c r="A8" s="21" t="inlineStr">
        <is>
          <t>Microsoft Support</t>
        </is>
      </c>
      <c r="B8" s="21" t="inlineStr">
        <is>
          <t>Microsoft Formsでフォームを作成</t>
        </is>
      </c>
      <c r="C8" s="21" t="inlineStr">
        <is>
          <t>https://support.microsoft.com/ja-jp/forms/create-a-form-with-microsoft-forms</t>
        </is>
      </c>
      <c r="D8" s="21" t="inlineStr">
        <is>
          <t>Forms設問タイプ/セクション化の参考</t>
        </is>
      </c>
    </row>
    <row r="9" ht="34" customHeight="1">
      <c r="A9" s="21" t="inlineStr">
        <is>
          <t>Microsoft Support</t>
        </is>
      </c>
      <c r="B9" s="21" t="inlineStr">
        <is>
          <t>SharePoint WebパーツでMicrosoft Formsを利用</t>
        </is>
      </c>
      <c r="C9" s="21" t="inlineStr">
        <is>
          <t>https://support.microsoft.com/ja-jp/forms/use-the-microsoft-forms-web-part-on-a-sharepoint-site</t>
        </is>
      </c>
      <c r="D9" s="21" t="inlineStr">
        <is>
          <t>SharePoint共有/埋め込みの参考</t>
        </is>
      </c>
    </row>
    <row r="10" ht="34" customHeight="1">
      <c r="A10" s="21" t="inlineStr">
        <is>
          <t>Microsoft Support</t>
        </is>
      </c>
      <c r="B10" s="21" t="inlineStr">
        <is>
          <t>Power AutomateでMicrosoft Forms回答を処理</t>
        </is>
      </c>
      <c r="C10" s="21" t="inlineStr">
        <is>
          <t>https://support.microsoft.com/ja-jp/forms/create-an-automated-workflow-for-microsoft-forms</t>
        </is>
      </c>
      <c r="D10" s="21" t="inlineStr">
        <is>
          <t>SharePoint List登録フローの参考</t>
        </is>
      </c>
    </row>
  </sheetData>
  <mergeCells count="2">
    <mergeCell ref="A2:F2"/>
    <mergeCell ref="A1:F1"/>
  </mergeCells>
  <pageMargins left="0.3" right="0.3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2026-08-22T02:14:39Z</dcterms:created>
  <dcterms:modified xmlns:dcterms="http://purl.org/dc/terms/" xmlns:xsi="http://www.w3.org/2001/XMLSchema-instance" xsi:type="dcterms:W3CDTF">2026-08-22T02:15:51Z</dcterms:modified>
</cp:coreProperties>
</file>